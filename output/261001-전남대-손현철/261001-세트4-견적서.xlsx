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<sst xmlns="http://schemas.openxmlformats.org/spreadsheetml/2006/main" count="44" uniqueCount="42">
  <si>
    <t xml:space="preserve">견    적    서</t>
  </si>
  <si>
    <r>
      <rPr>
        <b val="true"/>
        <sz val="11"/>
        <rFont val="WenQuanYi Zen Hei"/>
        <family val="2"/>
      </rPr>
      <t xml:space="preserve">일자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</si>
  <si>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</si>
  <si>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</si>
  <si>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</si>
  <si>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</si>
  <si>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</si>
  <si>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</si>
  <si>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</si>
  <si>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</si>
  <si>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</si>
  <si>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</si>
  <si>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</si>
  <si>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</si>
  <si>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r>
      <rPr>
        <sz val="11"/>
        <rFont val="굴림"/>
        <family val="3"/>
        <charset val="129"/>
      </rPr>
      <t xml:space="preserve">*</t>
    </r>
    <r>
      <rPr>
        <sz val="11"/>
        <rFont val="WenQuanYi Zen Hei"/>
        <family val="2"/>
      </rPr>
      <t xml:space="preserve">아래와 같이 견적드립니다</t>
    </r>
    <r>
      <rPr>
        <sz val="11"/>
        <rFont val="굴림"/>
        <family val="3"/>
        <charset val="129"/>
      </rPr>
      <t xml:space="preserve">.</t>
    </r>
  </si>
  <si>
    <t xml:space="preserve">견적금액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</si>
  <si>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</si>
  <si>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</si>
  <si>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</si>
  <si>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</si>
  <si>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</si>
  <si>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</si>
  <si>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</si>
  <si>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</si>
  <si>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Amicon Ultra-15</t>
  </si>
  <si>
    <t xml:space="preserve">UFC901024</t>
  </si>
  <si>
    <t xml:space="preserve">EA</t>
  </si>
  <si>
    <t xml:space="preserve">부가세 포함</t>
  </si>
  <si>
    <t xml:space="preserve">Quick-DNA Fungal/Bacterial Kit 50Preps</t>
  </si>
  <si>
    <t xml:space="preserve">D6005</t>
  </si>
  <si>
    <t xml:space="preserve">Fisher Water HPLC GRADE 4L [4EA/BOX]</t>
  </si>
  <si>
    <t xml:space="preserve">W5-4</t>
  </si>
  <si>
    <t xml:space="preserve">BOX</t>
  </si>
  <si>
    <t xml:space="preserve">Red PTFE/white silicone septa, blue, screw cap, 2ml, 100/pk</t>
  </si>
  <si>
    <t xml:space="preserve">CTC-0952RB</t>
  </si>
  <si>
    <t xml:space="preserve">PK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</si>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</sst>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8"/>
  <sheetViews>
    <sheetView showFormulas="false" showGridLines="true" showRowColHeaders="true" showZeros="true" rightToLeft="false" tabSelected="true" showOutlineSymbols="true" defaultGridColor="true" view="pageBreakPreview" topLeftCell="A1" colorId="64" zoomScale="75" zoomScaleNormal="75" zoomScalePageLayoutView="75" workbookViewId="0">
      <selection pane="topLeft" activeCell="B18" activeCellId="0" sqref="B18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46289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 t="s">
        <v>14</v>
      </c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15</v>
      </c>
      <c r="B12" s="29" t="n">
        <f aca="false">+D12</f>
        <v>1368510</v>
      </c>
      <c r="C12" s="29"/>
      <c r="D12" s="30" t="n">
        <f aca="false">+F24</f>
        <v>1368510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16</v>
      </c>
      <c r="B14" s="33" t="s">
        <v>17</v>
      </c>
      <c r="C14" s="33" t="s">
        <v>18</v>
      </c>
      <c r="D14" s="33" t="s">
        <v>19</v>
      </c>
      <c r="E14" s="33" t="s">
        <v>20</v>
      </c>
      <c r="F14" s="34" t="s">
        <v>21</v>
      </c>
      <c r="G14" s="34" t="s">
        <v>22</v>
      </c>
      <c r="H14" s="34" t="s">
        <v>23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24</v>
      </c>
      <c r="C16" s="37" t="s">
        <v>25</v>
      </c>
      <c r="D16" s="38" t="s">
        <v>26</v>
      </c>
      <c r="E16" s="39" t="n">
        <v>1</v>
      </c>
      <c r="F16" s="40" t="n">
        <v>649000</v>
      </c>
      <c r="G16" s="41" t="n">
        <f aca="false">F16*E16</f>
        <v>649000</v>
      </c>
      <c r="H16" s="42" t="s">
        <v>27</v>
      </c>
    </row>
    <row r="17" s="1" customFormat="true" ht="39" hidden="false" customHeight="true" outlineLevel="0" collapsed="false">
      <c r="A17" s="35" t="n">
        <v>2</v>
      </c>
      <c r="B17" s="43" t="s">
        <v>28</v>
      </c>
      <c r="C17" s="44" t="s">
        <v>29</v>
      </c>
      <c r="D17" s="38" t="s">
        <v>26</v>
      </c>
      <c r="E17" s="39" t="n">
        <v>1</v>
      </c>
      <c r="F17" s="40" t="n">
        <v>388410</v>
      </c>
      <c r="G17" s="41" t="n">
        <f aca="false">F17*E17</f>
        <v>388410</v>
      </c>
      <c r="H17" s="42"/>
    </row>
    <row r="18" s="1" customFormat="true" ht="39" hidden="false" customHeight="true" outlineLevel="0" collapsed="false">
      <c r="A18" s="35" t="n">
        <v>3</v>
      </c>
      <c r="B18" s="45" t="s">
        <v>30</v>
      </c>
      <c r="C18" s="37" t="s">
        <v>31</v>
      </c>
      <c r="D18" s="38" t="s">
        <v>32</v>
      </c>
      <c r="E18" s="46" t="n">
        <v>2</v>
      </c>
      <c r="F18" s="40" t="n">
        <v>91300</v>
      </c>
      <c r="G18" s="41" t="n">
        <f aca="false">F18*E18</f>
        <v>182600</v>
      </c>
      <c r="H18" s="42"/>
    </row>
    <row r="19" s="1" customFormat="true" ht="39" hidden="false" customHeight="true" outlineLevel="0" collapsed="false">
      <c r="A19" s="35" t="n">
        <v>4</v>
      </c>
      <c r="B19" s="45" t="s">
        <v>33</v>
      </c>
      <c r="C19" s="37" t="s">
        <v>34</v>
      </c>
      <c r="D19" s="38" t="s">
        <v>35</v>
      </c>
      <c r="E19" s="46" t="n">
        <v>10</v>
      </c>
      <c r="F19" s="40" t="n">
        <v>14850</v>
      </c>
      <c r="G19" s="41" t="n">
        <f aca="false">F19*E19</f>
        <v>148500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</row>
    <row r="22" s="1" customFormat="true" ht="41.25" hidden="false" customHeight="true" outlineLevel="0" collapsed="false">
      <c r="A22" s="57"/>
      <c r="B22" s="57"/>
      <c r="C22" s="57"/>
      <c r="D22" s="58"/>
      <c r="E22" s="59" t="s">
        <v>36</v>
      </c>
      <c r="F22" s="60" t="n">
        <f aca="false">SUM(G16:G20)</f>
        <v>1368510</v>
      </c>
      <c r="G22" s="60"/>
      <c r="H22" s="60"/>
      <c r="I22" s="4"/>
      <c r="J22" s="4"/>
    </row>
    <row r="23" s="1" customFormat="true" ht="41.25" hidden="false" customHeight="true" outlineLevel="0" collapsed="false">
      <c r="A23" s="61" t="s">
        <v>37</v>
      </c>
      <c r="B23" s="61" t="s">
        <v>38</v>
      </c>
      <c r="C23" s="23"/>
      <c r="D23" s="62"/>
      <c r="E23" s="63" t="s">
        <v>39</v>
      </c>
      <c r="F23" s="64" t="s">
        <v>27</v>
      </c>
      <c r="G23" s="64"/>
      <c r="H23" s="64"/>
      <c r="I23" s="4"/>
      <c r="J23" s="4"/>
    </row>
    <row r="24" s="1" customFormat="true" ht="41.25" hidden="false" customHeight="true" outlineLevel="0" collapsed="false">
      <c r="A24" s="61"/>
      <c r="B24" s="61"/>
      <c r="C24" s="23"/>
      <c r="D24" s="62"/>
      <c r="E24" s="65" t="s">
        <v>40</v>
      </c>
      <c r="F24" s="66" t="n">
        <f aca="false">F22</f>
        <v>1368510</v>
      </c>
      <c r="G24" s="66"/>
      <c r="H24" s="66"/>
      <c r="I24" s="4"/>
      <c r="J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41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2021-11-11T08:42:08Z</cp:lastPrinted>
  <dcterms:modified xsi:type="dcterms:W3CDTF">2026-10-20T09:27:14Z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