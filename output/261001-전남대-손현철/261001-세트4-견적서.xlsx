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세환\Desktop\사무실 서류\결제서류\261001 박숙영 교수님실 바이오필 (2,400,000)\"/>
    </mc:Choice>
  </mc:AlternateContent>
  <xr:revisionPtr revIDLastSave="0" documentId="13_ncr:1_{706C9789-AF22-4A19-BD06-E901A9917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견적서" sheetId="2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견적서!#REF!</definedName>
    <definedName name="\S" localSheetId="0">'[1]1008HC'!#REF!</definedName>
    <definedName name="\S">'[1]1008HC'!#REF!</definedName>
    <definedName name="a" localSheetId="0">'[2]1008HC'!#REF!</definedName>
    <definedName name="a">'[2]1008HC'!#REF!</definedName>
    <definedName name="ListItem01">[3]발신정보!$C$4</definedName>
    <definedName name="ListItem02">[3]발신정보!$C$5</definedName>
    <definedName name="ListItem04">[3]발신정보!$C$7</definedName>
    <definedName name="ListItem07">[3]발신정보!$C$11</definedName>
    <definedName name="Nis">[4]cp60e!$A$1:$IV$5</definedName>
    <definedName name="_xlnm.Print_Area" localSheetId="0">견적서!$A$1:$H$29</definedName>
    <definedName name="Print_Area_MI" localSheetId="0">'[5]3010-1'!#REF!</definedName>
    <definedName name="Print_Area_MI">'[5]3010-1'!#REF!</definedName>
    <definedName name="print_title" localSheetId="0">'[6]99년 3월경'!#REF!</definedName>
    <definedName name="print_title">'[6]99년 3월경'!#REF!</definedName>
    <definedName name="_xlnm.Print_Titles" localSheetId="0">견적서!$25:$33</definedName>
    <definedName name="PRINT_TITLES_MI">#REF!</definedName>
    <definedName name="q">[7]U3010!$A$6:$H$82</definedName>
    <definedName name="광주" localSheetId="0">'[8]1008HC'!#REF!</definedName>
    <definedName name="광주">'[8]1008HC'!#REF!</definedName>
    <definedName name="구분">[9]Sheet5!$A$1:$A$2</definedName>
    <definedName name="사용구분">[9]Sheet5!$B$1:$B$2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<sst xmlns="http://schemas.openxmlformats.org/spreadsheetml/2006/main" count="41" uniqueCount="39">
  <si>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>품명</t>
  </si>
  <si>
    <t>규격</t>
  </si>
  <si>
    <t>단위</t>
  </si>
  <si>
    <t>소   계</t>
    <phoneticPr fontId="8" type="noConversion"/>
  </si>
  <si>
    <t>담당</t>
    <phoneticPr fontId="8" type="noConversion"/>
  </si>
  <si>
    <t>V A T</t>
    <phoneticPr fontId="8" type="noConversion"/>
  </si>
  <si>
    <t>합  계</t>
    <phoneticPr fontId="8" type="noConversion"/>
  </si>
  <si>
    <t xml:space="preserve">특이
사항  </t>
    <phoneticPr fontId="8" type="noConversion"/>
  </si>
  <si>
    <t xml:space="preserve">수신 : </t>
    <phoneticPr fontId="8" type="noConversion"/>
  </si>
  <si>
    <t>번호</t>
    <phoneticPr fontId="8" type="noConversion"/>
  </si>
  <si>
    <t>수량</t>
    <phoneticPr fontId="8" type="noConversion"/>
  </si>
  <si>
    <t>단가</t>
    <phoneticPr fontId="8" type="noConversion"/>
  </si>
  <si>
    <t>상      호</t>
    <phoneticPr fontId="8" type="noConversion"/>
  </si>
  <si>
    <t>바이오필</t>
    <phoneticPr fontId="8" type="noConversion"/>
  </si>
  <si>
    <t>등록번호</t>
    <phoneticPr fontId="8" type="noConversion"/>
  </si>
  <si>
    <t>402-02-63826</t>
    <phoneticPr fontId="8" type="noConversion"/>
  </si>
  <si>
    <t>사 업 장</t>
    <phoneticPr fontId="8" type="noConversion"/>
  </si>
  <si>
    <t>대 표 자</t>
    <phoneticPr fontId="8" type="noConversion"/>
  </si>
  <si>
    <t>전화번호</t>
    <phoneticPr fontId="8" type="noConversion"/>
  </si>
  <si>
    <t>공급가액</t>
    <phoneticPr fontId="8" type="noConversion"/>
  </si>
  <si>
    <t>세액</t>
    <phoneticPr fontId="8" type="noConversion"/>
  </si>
  <si>
    <t>일자 :</t>
    <phoneticPr fontId="8" type="noConversion"/>
  </si>
  <si>
    <t>견    적    서</t>
    <phoneticPr fontId="8" type="noConversion"/>
  </si>
  <si>
    <t>*아래와 같이 견적드립니다.</t>
    <phoneticPr fontId="8" type="noConversion"/>
  </si>
  <si>
    <t xml:space="preserve">견적금액 </t>
    <phoneticPr fontId="8" type="noConversion"/>
  </si>
  <si>
    <t>이세환</t>
    <phoneticPr fontId="8" type="noConversion"/>
  </si>
  <si>
    <t>010-2470-2771</t>
    <phoneticPr fontId="8" type="noConversion"/>
  </si>
  <si>
    <t xml:space="preserve">  고객지원팀</t>
    <phoneticPr fontId="8" type="noConversion"/>
  </si>
  <si>
    <t xml:space="preserve">전남광주통합특별시 순천시 덕연로 68 </t>
    <phoneticPr fontId="8" type="noConversion"/>
  </si>
  <si>
    <t>국립순천대학교 산학협력단</t>
    <phoneticPr fontId="8" type="noConversion"/>
  </si>
  <si>
    <t>부가세 포함</t>
    <phoneticPr fontId="8" type="noConversion"/>
  </si>
  <si>
    <t>EA</t>
    <phoneticPr fontId="8" type="noConversion"/>
  </si>
  <si>
    <t>PK</t>
    <phoneticPr fontId="8" type="noConversion"/>
  </si>
  <si>
    <t>Piko PCR Plate, 96-well, clear</t>
    <phoneticPr fontId="8" type="noConversion"/>
  </si>
  <si>
    <t>SPL0960</t>
    <phoneticPr fontId="8" type="noConversion"/>
  </si>
  <si>
    <t>ATP Determination Kit</t>
    <phoneticPr fontId="8" type="noConversion"/>
  </si>
  <si>
    <t>A22066</t>
    <phoneticPr fontId="8" type="noConversion"/>
  </si>
  <si>
    <t>Low Profile Tubes (white) and Ultra Clear Caps, strips of 8</t>
    <phoneticPr fontId="8" type="noConversion"/>
  </si>
  <si>
    <t>AB1771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</si>
</sst>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#,##0_);[Red]\(#,##0\)"/>
    <numFmt numFmtId="181" formatCode="#,##0_ "/>
    <numFmt numFmtId="182" formatCode="General_)"/>
    <numFmt numFmtId="183" formatCode="&quot;₩&quot;#,##0"/>
    <numFmt numFmtId="184" formatCode="0_);[Red]\(0\)"/>
    <numFmt numFmtId="185" formatCode="&quot;R$&quot;#,##0.00;&quot;R$&quot;\-#,##0.00"/>
    <numFmt numFmtId="186" formatCode="yyyy&quot;년&quot;\ m&quot;월&quot;\ d&quot;일&quot;;@"/>
    <numFmt numFmtId="187" formatCode="[DBNum4]&quot;일&quot;&quot;금&quot;[$-412]General&quot;원&quot;&quot;정&quot;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¹UAAA¼"/>
      <family val="3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Helv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0"/>
      <name val="MS Sans Serif"/>
      <family val="2"/>
    </font>
    <font>
      <b/>
      <i/>
      <sz val="12"/>
      <color indexed="9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b/>
      <sz val="26"/>
      <name val="HY헤드라인M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굴림"/>
      <family val="3"/>
      <charset val="129"/>
    </font>
    <font>
      <b/>
      <u val="double"/>
      <sz val="40"/>
      <name val="HY헤드라인M"/>
      <family val="1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sz val="18"/>
      <name val="굴림"/>
      <family val="3"/>
      <charset val="129"/>
    </font>
    <font>
      <sz val="14"/>
      <name val="굴림"/>
      <family val="3"/>
      <charset val="129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8"/>
      <name val="굴림"/>
      <family val="3"/>
      <charset val="129"/>
    </font>
    <font>
      <sz val="9"/>
      <name val="맑은 고딕"/>
      <family val="3"/>
      <charset val="129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1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3" fillId="0" borderId="0" applyFill="0" applyBorder="0" applyProtection="0">
      <alignment horizontal="left" shrinkToFit="1"/>
    </xf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0" fontId="14" fillId="3" borderId="0" applyNumberFormat="0" applyBorder="0" applyAlignment="0" applyProtection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4" fillId="21" borderId="2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5" fillId="0" borderId="0"/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49" fontId="31" fillId="0" borderId="0">
      <alignment horizontal="center" vertical="center" wrapText="1"/>
    </xf>
    <xf numFmtId="0" fontId="3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33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4" fontId="30" fillId="0" borderId="0">
      <protection locked="0"/>
    </xf>
    <xf numFmtId="0" fontId="28" fillId="0" borderId="0">
      <protection locked="0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0" fontId="28" fillId="0" borderId="0">
      <protection locked="0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28" fillId="0" borderId="0"/>
    <xf numFmtId="0" fontId="51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0" fillId="0" borderId="10">
      <protection locked="0"/>
    </xf>
    <xf numFmtId="0" fontId="28" fillId="0" borderId="0">
      <protection locked="0"/>
    </xf>
    <xf numFmtId="0" fontId="28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0" borderId="0" applyFill="0" applyBorder="0" applyAlignment="0" applyProtection="0"/>
    <xf numFmtId="2" fontId="35" fillId="0" borderId="0" applyFill="0" applyBorder="0" applyAlignment="0" applyProtection="0"/>
    <xf numFmtId="0" fontId="27" fillId="0" borderId="11" applyNumberFormat="0" applyAlignment="0" applyProtection="0">
      <alignment horizontal="left" vertical="center"/>
    </xf>
    <xf numFmtId="0" fontId="27" fillId="0" borderId="12">
      <alignment horizontal="left" vertical="center"/>
    </xf>
    <xf numFmtId="0" fontId="36" fillId="0" borderId="0" applyNumberFormat="0" applyFill="0" applyBorder="0" applyAlignment="0" applyProtection="0"/>
    <xf numFmtId="0" fontId="37" fillId="24" borderId="0">
      <alignment horizontal="left" vertical="top" wrapText="1"/>
    </xf>
    <xf numFmtId="0" fontId="27" fillId="0" borderId="0">
      <alignment horizontal="center" vertical="top" wrapText="1"/>
    </xf>
    <xf numFmtId="0" fontId="3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9" fillId="0" borderId="12">
      <alignment vertical="top" wrapText="1"/>
    </xf>
    <xf numFmtId="0" fontId="5" fillId="0" borderId="0"/>
    <xf numFmtId="0" fontId="35" fillId="0" borderId="13" applyNumberFormat="0" applyFill="0" applyAlignment="0" applyProtection="0"/>
    <xf numFmtId="0" fontId="3" fillId="0" borderId="0">
      <alignment vertical="center"/>
    </xf>
    <xf numFmtId="0" fontId="52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/>
    <xf numFmtId="0" fontId="8" fillId="0" borderId="0" xfId="114" applyFont="1" applyAlignment="1">
      <alignment vertical="center"/>
    </xf>
    <xf numFmtId="0" fontId="8" fillId="0" borderId="0" xfId="114" applyFont="1" applyAlignment="1">
      <alignment horizontal="center" vertical="center"/>
    </xf>
    <xf numFmtId="0" fontId="8" fillId="0" borderId="0" xfId="114" applyFont="1" applyAlignment="1">
      <alignment vertical="center" wrapText="1"/>
    </xf>
    <xf numFmtId="0" fontId="8" fillId="0" borderId="0" xfId="114" applyFont="1" applyAlignment="1">
      <alignment horizontal="center" vertical="center" wrapText="1"/>
    </xf>
    <xf numFmtId="0" fontId="40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/>
    </xf>
    <xf numFmtId="0" fontId="42" fillId="0" borderId="0" xfId="114" applyFont="1" applyAlignment="1">
      <alignment vertical="center"/>
    </xf>
    <xf numFmtId="0" fontId="42" fillId="0" borderId="0" xfId="114" applyFont="1" applyAlignment="1">
      <alignment vertical="center" wrapText="1"/>
    </xf>
    <xf numFmtId="0" fontId="41" fillId="0" borderId="0" xfId="114" applyFont="1" applyAlignment="1">
      <alignment horizontal="center" vertical="center" wrapText="1"/>
    </xf>
    <xf numFmtId="0" fontId="7" fillId="0" borderId="0" xfId="114" applyFont="1" applyAlignment="1">
      <alignment horizontal="center" vertical="center" shrinkToFit="1"/>
    </xf>
    <xf numFmtId="0" fontId="7" fillId="26" borderId="0" xfId="114" applyFont="1" applyFill="1" applyAlignment="1">
      <alignment horizontal="center" vertical="center" shrinkToFit="1"/>
    </xf>
    <xf numFmtId="0" fontId="4" fillId="0" borderId="0" xfId="114" applyFont="1" applyAlignment="1">
      <alignment horizontal="center" vertical="center"/>
    </xf>
    <xf numFmtId="0" fontId="4" fillId="0" borderId="0" xfId="114" applyFont="1" applyAlignment="1">
      <alignment vertical="center" wrapText="1"/>
    </xf>
    <xf numFmtId="0" fontId="4" fillId="0" borderId="0" xfId="114" applyFont="1" applyAlignment="1">
      <alignment horizontal="center" vertical="center" wrapText="1"/>
    </xf>
    <xf numFmtId="0" fontId="4" fillId="0" borderId="0" xfId="114" applyFont="1" applyAlignment="1">
      <alignment vertical="center"/>
    </xf>
    <xf numFmtId="0" fontId="42" fillId="0" borderId="0" xfId="114" applyFont="1" applyAlignment="1">
      <alignment horizontal="left" vertical="center" wrapText="1"/>
    </xf>
    <xf numFmtId="0" fontId="47" fillId="0" borderId="14" xfId="114" applyFont="1" applyBorder="1" applyAlignment="1">
      <alignment horizontal="center" vertical="center"/>
    </xf>
    <xf numFmtId="0" fontId="7" fillId="0" borderId="15" xfId="114" applyFont="1" applyBorder="1" applyAlignment="1">
      <alignment horizontal="center" vertical="center" shrinkToFit="1"/>
    </xf>
    <xf numFmtId="0" fontId="46" fillId="27" borderId="17" xfId="114" applyFont="1" applyFill="1" applyBorder="1" applyAlignment="1">
      <alignment horizontal="center" vertical="center" wrapText="1"/>
    </xf>
    <xf numFmtId="0" fontId="41" fillId="0" borderId="32" xfId="114" applyFont="1" applyBorder="1" applyAlignment="1">
      <alignment horizontal="center" vertical="center" wrapText="1"/>
    </xf>
    <xf numFmtId="0" fontId="47" fillId="0" borderId="33" xfId="114" applyFont="1" applyBorder="1" applyAlignment="1">
      <alignment horizontal="center" vertical="center" shrinkToFit="1"/>
    </xf>
    <xf numFmtId="0" fontId="7" fillId="0" borderId="14" xfId="114" applyFont="1" applyBorder="1" applyAlignment="1">
      <alignment horizontal="center" vertical="center" shrinkToFit="1"/>
    </xf>
    <xf numFmtId="41" fontId="4" fillId="0" borderId="15" xfId="52" applyFont="1" applyFill="1" applyBorder="1" applyAlignment="1">
      <alignment horizontal="center" vertical="center" shrinkToFit="1"/>
    </xf>
    <xf numFmtId="41" fontId="4" fillId="0" borderId="34" xfId="52" applyFont="1" applyFill="1" applyBorder="1" applyAlignment="1">
      <alignment horizontal="center" vertical="center" shrinkToFit="1"/>
    </xf>
    <xf numFmtId="0" fontId="58" fillId="0" borderId="17" xfId="115" applyFont="1" applyBorder="1" applyAlignment="1">
      <alignment horizontal="center" vertical="center" shrinkToFit="1"/>
    </xf>
    <xf numFmtId="41" fontId="57" fillId="28" borderId="17" xfId="115" applyNumberFormat="1" applyFont="1" applyFill="1" applyBorder="1" applyAlignment="1">
      <alignment horizontal="right" vertical="center" shrinkToFit="1"/>
    </xf>
    <xf numFmtId="0" fontId="56" fillId="0" borderId="17" xfId="0" applyFont="1" applyBorder="1" applyAlignment="1">
      <alignment horizontal="center" vertical="center"/>
    </xf>
    <xf numFmtId="181" fontId="56" fillId="0" borderId="17" xfId="0" applyNumberFormat="1" applyFont="1" applyBorder="1" applyAlignment="1">
      <alignment vertical="center"/>
    </xf>
    <xf numFmtId="0" fontId="53" fillId="0" borderId="17" xfId="115" applyFont="1" applyBorder="1" applyAlignment="1">
      <alignment horizontal="center" vertical="center" shrinkToFit="1"/>
    </xf>
    <xf numFmtId="0" fontId="54" fillId="0" borderId="17" xfId="0" applyFont="1" applyBorder="1" applyAlignment="1">
      <alignment vertical="center"/>
    </xf>
    <xf numFmtId="0" fontId="57" fillId="0" borderId="17" xfId="0" applyFont="1" applyBorder="1" applyAlignment="1">
      <alignment horizontal="center" vertical="center"/>
    </xf>
    <xf numFmtId="41" fontId="57" fillId="0" borderId="17" xfId="52" applyFont="1" applyBorder="1" applyAlignment="1">
      <alignment vertical="center"/>
    </xf>
    <xf numFmtId="0" fontId="58" fillId="0" borderId="17" xfId="0" applyFont="1" applyBorder="1" applyAlignment="1">
      <alignment horizontal="center" vertical="center" wrapText="1"/>
    </xf>
    <xf numFmtId="0" fontId="41" fillId="26" borderId="0" xfId="114" applyFont="1" applyFill="1" applyAlignment="1">
      <alignment horizontal="center" vertical="center" wrapText="1"/>
    </xf>
    <xf numFmtId="186" fontId="43" fillId="0" borderId="0" xfId="114" applyNumberFormat="1" applyFont="1" applyAlignment="1">
      <alignment horizontal="left" vertical="center" wrapText="1" indent="2"/>
    </xf>
    <xf numFmtId="0" fontId="44" fillId="0" borderId="35" xfId="114" applyFont="1" applyBorder="1" applyAlignment="1">
      <alignment horizontal="center" vertical="center" wrapText="1"/>
    </xf>
    <xf numFmtId="0" fontId="44" fillId="0" borderId="23" xfId="114" applyFont="1" applyBorder="1" applyAlignment="1">
      <alignment vertical="center" wrapText="1"/>
    </xf>
    <xf numFmtId="0" fontId="44" fillId="0" borderId="33" xfId="114" applyFont="1" applyBorder="1" applyAlignment="1">
      <alignment vertical="center" wrapText="1"/>
    </xf>
    <xf numFmtId="0" fontId="57" fillId="0" borderId="17" xfId="57" applyNumberFormat="1" applyFont="1" applyBorder="1" applyAlignment="1">
      <alignment horizontal="center" vertical="center"/>
    </xf>
    <xf numFmtId="0" fontId="57" fillId="0" borderId="17" xfId="52" applyNumberFormat="1" applyFont="1" applyBorder="1" applyAlignment="1">
      <alignment vertical="center"/>
    </xf>
    <xf numFmtId="0" fontId="60" fillId="0" borderId="17" xfId="79" applyFont="1" applyBorder="1" applyAlignment="1">
      <alignment horizontal="left" vertical="center" wrapText="1" shrinkToFit="1"/>
    </xf>
    <xf numFmtId="0" fontId="57" fillId="0" borderId="17" xfId="114" applyFont="1" applyBorder="1" applyAlignment="1">
      <alignment horizontal="left" vertical="center" wrapText="1"/>
    </xf>
    <xf numFmtId="0" fontId="57" fillId="0" borderId="17" xfId="79" applyFont="1" applyBorder="1" applyAlignment="1">
      <alignment horizontal="left" vertical="center" wrapText="1" shrinkToFit="1"/>
    </xf>
    <xf numFmtId="180" fontId="57" fillId="0" borderId="17" xfId="52" applyNumberFormat="1" applyFont="1" applyBorder="1" applyAlignment="1">
      <alignment vertical="center"/>
    </xf>
    <xf numFmtId="3" fontId="57" fillId="0" borderId="17" xfId="52" applyNumberFormat="1" applyFont="1" applyBorder="1" applyAlignment="1">
      <alignment vertical="center"/>
    </xf>
    <xf numFmtId="0" fontId="45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left" vertical="center" wrapText="1"/>
    </xf>
    <xf numFmtId="184" fontId="50" fillId="27" borderId="17" xfId="114" applyNumberFormat="1" applyFont="1" applyFill="1" applyBorder="1" applyAlignment="1">
      <alignment horizontal="center" vertical="center" wrapText="1" shrinkToFit="1"/>
    </xf>
    <xf numFmtId="0" fontId="49" fillId="0" borderId="28" xfId="114" applyFont="1" applyBorder="1" applyAlignment="1">
      <alignment horizontal="center" vertical="center"/>
    </xf>
    <xf numFmtId="0" fontId="49" fillId="0" borderId="29" xfId="114" applyFont="1" applyBorder="1" applyAlignment="1">
      <alignment horizontal="center" vertical="center"/>
    </xf>
    <xf numFmtId="0" fontId="49" fillId="0" borderId="30" xfId="114" applyFont="1" applyBorder="1" applyAlignment="1">
      <alignment horizontal="center" vertical="center"/>
    </xf>
    <xf numFmtId="0" fontId="43" fillId="0" borderId="14" xfId="114" applyFont="1" applyBorder="1" applyAlignment="1">
      <alignment horizontal="center" vertical="center" wrapText="1"/>
    </xf>
    <xf numFmtId="0" fontId="43" fillId="0" borderId="16" xfId="114" applyFont="1" applyBorder="1" applyAlignment="1">
      <alignment horizontal="center" vertical="center" wrapText="1"/>
    </xf>
    <xf numFmtId="0" fontId="46" fillId="0" borderId="12" xfId="114" applyFont="1" applyBorder="1" applyAlignment="1">
      <alignment horizontal="center" vertical="center" wrapText="1"/>
    </xf>
    <xf numFmtId="0" fontId="46" fillId="0" borderId="16" xfId="114" applyFont="1" applyBorder="1" applyAlignment="1">
      <alignment horizontal="center" vertical="center" wrapText="1"/>
    </xf>
    <xf numFmtId="0" fontId="42" fillId="0" borderId="12" xfId="114" applyFont="1" applyBorder="1" applyAlignment="1">
      <alignment horizontal="center" vertical="center" wrapText="1"/>
    </xf>
    <xf numFmtId="0" fontId="42" fillId="0" borderId="16" xfId="114" applyFont="1" applyBorder="1" applyAlignment="1">
      <alignment horizontal="center" vertical="center" wrapText="1"/>
    </xf>
    <xf numFmtId="42" fontId="44" fillId="0" borderId="17" xfId="114" applyNumberFormat="1" applyFont="1" applyBorder="1" applyAlignment="1">
      <alignment horizontal="center" vertical="center" wrapText="1"/>
    </xf>
    <xf numFmtId="187" fontId="59" fillId="0" borderId="17" xfId="114" applyNumberFormat="1" applyFont="1" applyBorder="1" applyAlignment="1">
      <alignment horizontal="right" vertical="center" wrapText="1"/>
    </xf>
    <xf numFmtId="187" fontId="48" fillId="0" borderId="17" xfId="114" applyNumberFormat="1" applyFont="1" applyBorder="1" applyAlignment="1">
      <alignment horizontal="right" vertical="center" wrapText="1"/>
    </xf>
    <xf numFmtId="0" fontId="4" fillId="0" borderId="31" xfId="114" applyFont="1" applyBorder="1" applyAlignment="1">
      <alignment horizontal="right" vertical="center" wrapText="1"/>
    </xf>
    <xf numFmtId="0" fontId="44" fillId="0" borderId="31" xfId="114" applyFont="1" applyBorder="1" applyAlignment="1">
      <alignment horizontal="center" vertical="center" wrapText="1"/>
    </xf>
    <xf numFmtId="0" fontId="44" fillId="0" borderId="36" xfId="114" applyFont="1" applyBorder="1" applyAlignment="1">
      <alignment horizontal="center" vertical="center" wrapText="1"/>
    </xf>
    <xf numFmtId="0" fontId="44" fillId="0" borderId="0" xfId="114" applyFont="1" applyAlignment="1">
      <alignment horizontal="center" vertical="center" wrapText="1"/>
    </xf>
    <xf numFmtId="0" fontId="44" fillId="0" borderId="32" xfId="114" applyFont="1" applyBorder="1" applyAlignment="1">
      <alignment horizontal="center" vertical="center" wrapText="1"/>
    </xf>
    <xf numFmtId="0" fontId="44" fillId="0" borderId="15" xfId="114" applyFont="1" applyBorder="1" applyAlignment="1">
      <alignment horizontal="center" vertical="center" wrapText="1"/>
    </xf>
    <xf numFmtId="0" fontId="44" fillId="0" borderId="34" xfId="114" applyFont="1" applyBorder="1" applyAlignment="1">
      <alignment horizontal="center" vertical="center" wrapText="1"/>
    </xf>
    <xf numFmtId="0" fontId="50" fillId="27" borderId="17" xfId="114" applyFont="1" applyFill="1" applyBorder="1" applyAlignment="1">
      <alignment horizontal="center" vertical="center" shrinkToFit="1"/>
    </xf>
    <xf numFmtId="0" fontId="52" fillId="0" borderId="14" xfId="143" applyBorder="1" applyAlignment="1">
      <alignment horizontal="center" vertical="center" wrapText="1"/>
    </xf>
    <xf numFmtId="0" fontId="52" fillId="0" borderId="16" xfId="143" applyBorder="1" applyAlignment="1">
      <alignment horizontal="center" vertical="center" wrapText="1"/>
    </xf>
    <xf numFmtId="0" fontId="41" fillId="25" borderId="18" xfId="0" applyFont="1" applyFill="1" applyBorder="1" applyAlignment="1" applyProtection="1">
      <alignment horizontal="center" vertical="center" wrapText="1"/>
      <protection locked="0"/>
    </xf>
    <xf numFmtId="0" fontId="41" fillId="25" borderId="19" xfId="0" applyFont="1" applyFill="1" applyBorder="1" applyAlignment="1" applyProtection="1">
      <alignment horizontal="center" vertical="center" wrapText="1"/>
      <protection locked="0"/>
    </xf>
    <xf numFmtId="0" fontId="55" fillId="0" borderId="20" xfId="114" applyFont="1" applyBorder="1" applyAlignment="1">
      <alignment horizontal="left" vertical="top" wrapText="1"/>
    </xf>
    <xf numFmtId="0" fontId="55" fillId="0" borderId="21" xfId="114" applyFont="1" applyBorder="1" applyAlignment="1">
      <alignment horizontal="left" vertical="top" wrapText="1"/>
    </xf>
    <xf numFmtId="0" fontId="55" fillId="0" borderId="22" xfId="114" applyFont="1" applyBorder="1" applyAlignment="1">
      <alignment horizontal="left" vertical="top" wrapText="1"/>
    </xf>
    <xf numFmtId="0" fontId="55" fillId="0" borderId="23" xfId="114" applyFont="1" applyBorder="1" applyAlignment="1">
      <alignment horizontal="left" vertical="top" wrapText="1"/>
    </xf>
    <xf numFmtId="0" fontId="55" fillId="0" borderId="0" xfId="114" applyFont="1" applyAlignment="1">
      <alignment horizontal="left" vertical="top" wrapText="1"/>
    </xf>
    <xf numFmtId="0" fontId="55" fillId="0" borderId="24" xfId="114" applyFont="1" applyBorder="1" applyAlignment="1">
      <alignment horizontal="left" vertical="top" wrapText="1"/>
    </xf>
    <xf numFmtId="0" fontId="55" fillId="0" borderId="25" xfId="114" applyFont="1" applyBorder="1" applyAlignment="1">
      <alignment horizontal="left" vertical="top" wrapText="1"/>
    </xf>
    <xf numFmtId="0" fontId="55" fillId="0" borderId="26" xfId="114" applyFont="1" applyBorder="1" applyAlignment="1">
      <alignment horizontal="left" vertical="top" wrapText="1"/>
    </xf>
    <xf numFmtId="0" fontId="55" fillId="0" borderId="27" xfId="114" applyFont="1" applyBorder="1" applyAlignment="1">
      <alignment horizontal="left" vertical="top" wrapText="1"/>
    </xf>
    <xf numFmtId="41" fontId="49" fillId="0" borderId="33" xfId="52" applyFont="1" applyFill="1" applyBorder="1" applyAlignment="1">
      <alignment horizontal="center" vertical="center" shrinkToFit="1"/>
    </xf>
    <xf numFmtId="41" fontId="49" fillId="0" borderId="15" xfId="52" applyFont="1" applyFill="1" applyBorder="1" applyAlignment="1">
      <alignment horizontal="center" vertical="center" shrinkToFit="1"/>
    </xf>
    <xf numFmtId="41" fontId="49" fillId="0" borderId="34" xfId="52" applyFont="1" applyFill="1" applyBorder="1" applyAlignment="1">
      <alignment horizontal="center" vertical="center" shrinkToFit="1"/>
    </xf>
    <xf numFmtId="41" fontId="49" fillId="0" borderId="14" xfId="114" applyNumberFormat="1" applyFont="1" applyBorder="1" applyAlignment="1">
      <alignment horizontal="right" vertical="center"/>
    </xf>
    <xf numFmtId="41" fontId="49" fillId="0" borderId="12" xfId="114" applyNumberFormat="1" applyFont="1" applyBorder="1" applyAlignment="1">
      <alignment horizontal="right" vertical="center"/>
    </xf>
    <xf numFmtId="41" fontId="49" fillId="0" borderId="16" xfId="114" applyNumberFormat="1" applyFont="1" applyBorder="1" applyAlignment="1">
      <alignment horizontal="right" vertical="center"/>
    </xf>
    <xf numFmtId="41" fontId="49" fillId="0" borderId="14" xfId="114" applyNumberFormat="1" applyFont="1" applyBorder="1" applyAlignment="1">
      <alignment horizontal="center" vertical="center"/>
    </xf>
    <xf numFmtId="41" fontId="49" fillId="0" borderId="12" xfId="114" applyNumberFormat="1" applyFont="1" applyBorder="1" applyAlignment="1">
      <alignment horizontal="center" vertical="center"/>
    </xf>
    <xf numFmtId="41" fontId="49" fillId="0" borderId="16" xfId="114" applyNumberFormat="1" applyFont="1" applyBorder="1" applyAlignment="1">
      <alignment horizontal="center" vertical="center"/>
    </xf>
    <xf numFmtId="41" fontId="57" fillId="28" borderId="28" xfId="115" applyNumberFormat="1" applyFont="1" applyFill="1" applyBorder="1" applyAlignment="1">
      <alignment horizontal="center" vertical="center" shrinkToFit="1"/>
    </xf>
    <xf numFmtId="41" fontId="57" fillId="28" borderId="29" xfId="115" applyNumberFormat="1" applyFont="1" applyFill="1" applyBorder="1" applyAlignment="1">
      <alignment horizontal="center" vertical="center" shrinkToFit="1"/>
    </xf>
    <xf numFmtId="0" fontId="43" fillId="0" borderId="17" xfId="114" applyFont="1" applyBorder="1" applyAlignment="1">
      <alignment horizontal="center" vertical="center" wrapText="1"/>
    </xf>
    <xf numFmtId="0" fontId="46" fillId="0" borderId="14" xfId="114" applyFont="1" applyBorder="1" applyAlignment="1">
      <alignment horizontal="center" vertical="center" wrapText="1"/>
    </xf>
    <xf numFmtId="41" fontId="57" fillId="28" borderId="17" xfId="115" applyNumberFormat="1" applyFont="1" applyFill="1" applyBorder="1" applyAlignment="1">
      <alignment horizontal="center" vertical="center" shrinkToFit="1"/>
    </xf>
  </cellXfs>
  <cellStyles count="151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AeE­ [0]_INQUIRY ¿μ¾÷AßAø " xfId="121" xr:uid="{00000000-0005-0000-0000-000012000000}"/>
    <cellStyle name="AeE­_INQUIRY ¿μ¾÷AßAø " xfId="122" xr:uid="{00000000-0005-0000-0000-000013000000}"/>
    <cellStyle name="AÞ¸¶ [0]_INQUIRY ¿μ¾÷AßAø " xfId="123" xr:uid="{00000000-0005-0000-0000-000014000000}"/>
    <cellStyle name="AÞ¸¶_INQUIRY ¿μ¾÷AßAø " xfId="124" xr:uid="{00000000-0005-0000-0000-000015000000}"/>
    <cellStyle name="C￥AØ_¿μ¾÷CoE² " xfId="125" xr:uid="{00000000-0005-0000-0000-000016000000}"/>
    <cellStyle name="Comma [0]_ SG&amp;A Bridge " xfId="126" xr:uid="{00000000-0005-0000-0000-000017000000}"/>
    <cellStyle name="Comma_ SG&amp;A Bridge " xfId="127" xr:uid="{00000000-0005-0000-0000-000018000000}"/>
    <cellStyle name="Currency [0]_ SG&amp;A Bridge " xfId="128" xr:uid="{00000000-0005-0000-0000-000019000000}"/>
    <cellStyle name="Currency_ SG&amp;A Bridge " xfId="129" xr:uid="{00000000-0005-0000-0000-00001A000000}"/>
    <cellStyle name="Date" xfId="130" xr:uid="{00000000-0005-0000-0000-00001B000000}"/>
    <cellStyle name="Fixed" xfId="131" xr:uid="{00000000-0005-0000-0000-00001C000000}"/>
    <cellStyle name="Header1" xfId="132" xr:uid="{00000000-0005-0000-0000-00001D000000}"/>
    <cellStyle name="Header2" xfId="133" xr:uid="{00000000-0005-0000-0000-00001E000000}"/>
    <cellStyle name="Heading" xfId="134" xr:uid="{00000000-0005-0000-0000-00001F000000}"/>
    <cellStyle name="Heading 2" xfId="135" xr:uid="{00000000-0005-0000-0000-000020000000}"/>
    <cellStyle name="Heading 3" xfId="136" xr:uid="{00000000-0005-0000-0000-000021000000}"/>
    <cellStyle name="HEADING1" xfId="137" xr:uid="{00000000-0005-0000-0000-000022000000}"/>
    <cellStyle name="HEADING2" xfId="138" xr:uid="{00000000-0005-0000-0000-000023000000}"/>
    <cellStyle name="Line Items" xfId="139" xr:uid="{00000000-0005-0000-0000-000024000000}"/>
    <cellStyle name="Normal_ SG&amp;A Bridge " xfId="140" xr:uid="{00000000-0005-0000-0000-000025000000}"/>
    <cellStyle name="Total" xfId="141" xr:uid="{00000000-0005-0000-0000-000026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고정소숫점" xfId="27" xr:uid="{00000000-0005-0000-0000-00002F000000}"/>
    <cellStyle name="고정출력1" xfId="28" xr:uid="{00000000-0005-0000-0000-000030000000}"/>
    <cellStyle name="고정출력2" xfId="29" xr:uid="{00000000-0005-0000-0000-000031000000}"/>
    <cellStyle name="과정별배정" xfId="30" xr:uid="{00000000-0005-0000-0000-000032000000}"/>
    <cellStyle name="咬訌裝?INCOM1" xfId="31" xr:uid="{00000000-0005-0000-0000-000033000000}"/>
    <cellStyle name="咬訌裝?INCOM10" xfId="32" xr:uid="{00000000-0005-0000-0000-000034000000}"/>
    <cellStyle name="咬訌裝?INCOM2" xfId="33" xr:uid="{00000000-0005-0000-0000-000035000000}"/>
    <cellStyle name="咬訌裝?INCOM3" xfId="34" xr:uid="{00000000-0005-0000-0000-000036000000}"/>
    <cellStyle name="咬訌裝?INCOM4" xfId="35" xr:uid="{00000000-0005-0000-0000-000037000000}"/>
    <cellStyle name="咬訌裝?INCOM5" xfId="36" xr:uid="{00000000-0005-0000-0000-000038000000}"/>
    <cellStyle name="咬訌裝?INCOM6" xfId="37" xr:uid="{00000000-0005-0000-0000-000039000000}"/>
    <cellStyle name="咬訌裝?INCOM7" xfId="38" xr:uid="{00000000-0005-0000-0000-00003A000000}"/>
    <cellStyle name="咬訌裝?INCOM8" xfId="39" xr:uid="{00000000-0005-0000-0000-00003B000000}"/>
    <cellStyle name="咬訌裝?INCOM9" xfId="40" xr:uid="{00000000-0005-0000-0000-00003C000000}"/>
    <cellStyle name="咬訌裝?PRIB11" xfId="41" xr:uid="{00000000-0005-0000-0000-00003D000000}"/>
    <cellStyle name="나쁨" xfId="42" builtinId="27" customBuiltin="1"/>
    <cellStyle name="날짜" xfId="43" xr:uid="{00000000-0005-0000-0000-00003F000000}"/>
    <cellStyle name="달러" xfId="44" xr:uid="{00000000-0005-0000-0000-000040000000}"/>
    <cellStyle name="메모" xfId="45" builtinId="10" customBuiltin="1"/>
    <cellStyle name="보통" xfId="46" builtinId="28" customBuiltin="1"/>
    <cellStyle name="뷭?_AA-6800" xfId="47" xr:uid="{00000000-0005-0000-0000-000043000000}"/>
    <cellStyle name="설명 텍스트" xfId="48" builtinId="53" customBuiltin="1"/>
    <cellStyle name="셀 확인" xfId="49" builtinId="23" customBuiltin="1"/>
    <cellStyle name="수거검정" xfId="50" xr:uid="{00000000-0005-0000-0000-000046000000}"/>
    <cellStyle name="숫자(R)" xfId="51" xr:uid="{00000000-0005-0000-0000-000047000000}"/>
    <cellStyle name="쉼표 [0]" xfId="52" builtinId="6"/>
    <cellStyle name="쉼표 [0] 2" xfId="53" xr:uid="{00000000-0005-0000-0000-000049000000}"/>
    <cellStyle name="쉼표 [0] 2 2" xfId="54" xr:uid="{00000000-0005-0000-0000-00004A000000}"/>
    <cellStyle name="쉼표 [0] 2 2 2" xfId="55" xr:uid="{00000000-0005-0000-0000-00004B000000}"/>
    <cellStyle name="쉼표 [0] 2 3" xfId="56" xr:uid="{00000000-0005-0000-0000-00004C000000}"/>
    <cellStyle name="쉼표 [0] 3" xfId="57" xr:uid="{00000000-0005-0000-0000-00004D000000}"/>
    <cellStyle name="쉼표 [0] 4" xfId="58" xr:uid="{00000000-0005-0000-0000-00004E000000}"/>
    <cellStyle name="스타일 1" xfId="59" xr:uid="{00000000-0005-0000-0000-00004F000000}"/>
    <cellStyle name="연결된 셀" xfId="60" builtinId="24" customBuiltin="1"/>
    <cellStyle name="요약" xfId="61" builtinId="25" customBuiltin="1"/>
    <cellStyle name="입력" xfId="62" builtinId="20" customBuiltin="1"/>
    <cellStyle name="자리수" xfId="63" xr:uid="{00000000-0005-0000-0000-000053000000}"/>
    <cellStyle name="자리수0" xfId="64" xr:uid="{00000000-0005-0000-0000-000054000000}"/>
    <cellStyle name="제목" xfId="65" builtinId="15" customBuiltin="1"/>
    <cellStyle name="제목 1" xfId="66" builtinId="16" customBuiltin="1"/>
    <cellStyle name="제목 2" xfId="67" builtinId="17" customBuiltin="1"/>
    <cellStyle name="제목 3" xfId="68" builtinId="18" customBuiltin="1"/>
    <cellStyle name="제목 4" xfId="69" builtinId="19" customBuiltin="1"/>
    <cellStyle name="좋음" xfId="70" builtinId="26" customBuiltin="1"/>
    <cellStyle name="출력" xfId="71" builtinId="21" customBuiltin="1"/>
    <cellStyle name="콤마 [0]_(type)총괄" xfId="72" xr:uid="{00000000-0005-0000-0000-00005C000000}"/>
    <cellStyle name="콤마_(type)총괄" xfId="73" xr:uid="{00000000-0005-0000-0000-00005D000000}"/>
    <cellStyle name="통화 [0] 2" xfId="74" xr:uid="{00000000-0005-0000-0000-00005E000000}"/>
    <cellStyle name="통화 [0] 2 2" xfId="75" xr:uid="{00000000-0005-0000-0000-00005F000000}"/>
    <cellStyle name="통화 [0] 3" xfId="76" xr:uid="{00000000-0005-0000-0000-000060000000}"/>
    <cellStyle name="통화 [0] 4" xfId="77" xr:uid="{00000000-0005-0000-0000-000061000000}"/>
    <cellStyle name="퍼센트" xfId="78" xr:uid="{00000000-0005-0000-0000-000062000000}"/>
    <cellStyle name="표준" xfId="0" builtinId="0"/>
    <cellStyle name="표준 10" xfId="79" xr:uid="{00000000-0005-0000-0000-000064000000}"/>
    <cellStyle name="표준 11" xfId="80" xr:uid="{00000000-0005-0000-0000-000065000000}"/>
    <cellStyle name="표준 12" xfId="81" xr:uid="{00000000-0005-0000-0000-000066000000}"/>
    <cellStyle name="표준 13" xfId="142" xr:uid="{00000000-0005-0000-0000-000067000000}"/>
    <cellStyle name="표준 13 2" xfId="148" xr:uid="{00000000-0005-0000-0000-000068000000}"/>
    <cellStyle name="표준 13 3" xfId="150" xr:uid="{00000000-0005-0000-0000-000069000000}"/>
    <cellStyle name="표준 14" xfId="149" xr:uid="{00000000-0005-0000-0000-00006A000000}"/>
    <cellStyle name="표준 15" xfId="145" xr:uid="{00000000-0005-0000-0000-00006B000000}"/>
    <cellStyle name="표준 16" xfId="144" xr:uid="{00000000-0005-0000-0000-00006C000000}"/>
    <cellStyle name="표준 17" xfId="146" xr:uid="{00000000-0005-0000-0000-00006D000000}"/>
    <cellStyle name="표준 18" xfId="147" xr:uid="{00000000-0005-0000-0000-00006E000000}"/>
    <cellStyle name="표준 2" xfId="82" xr:uid="{00000000-0005-0000-0000-00006F000000}"/>
    <cellStyle name="표준 2 2" xfId="83" xr:uid="{00000000-0005-0000-0000-000070000000}"/>
    <cellStyle name="표준 2 2 2" xfId="84" xr:uid="{00000000-0005-0000-0000-000071000000}"/>
    <cellStyle name="표준 2 2 3" xfId="85" xr:uid="{00000000-0005-0000-0000-000072000000}"/>
    <cellStyle name="표준 2 3" xfId="86" xr:uid="{00000000-0005-0000-0000-000073000000}"/>
    <cellStyle name="표준 2 3 2" xfId="87" xr:uid="{00000000-0005-0000-0000-000074000000}"/>
    <cellStyle name="표준 2 4" xfId="88" xr:uid="{00000000-0005-0000-0000-000075000000}"/>
    <cellStyle name="표준 2_7.20 geltube외4종" xfId="89" xr:uid="{00000000-0005-0000-0000-000076000000}"/>
    <cellStyle name="표준 3" xfId="90" xr:uid="{00000000-0005-0000-0000-000077000000}"/>
    <cellStyle name="표준 3 2" xfId="91" xr:uid="{00000000-0005-0000-0000-000078000000}"/>
    <cellStyle name="표준 3 3" xfId="92" xr:uid="{00000000-0005-0000-0000-000079000000}"/>
    <cellStyle name="표준 35" xfId="93" xr:uid="{00000000-0005-0000-0000-00007A000000}"/>
    <cellStyle name="표준 36" xfId="94" xr:uid="{00000000-0005-0000-0000-00007B000000}"/>
    <cellStyle name="표준 37" xfId="95" xr:uid="{00000000-0005-0000-0000-00007C000000}"/>
    <cellStyle name="표준 38" xfId="96" xr:uid="{00000000-0005-0000-0000-00007D000000}"/>
    <cellStyle name="표준 39" xfId="97" xr:uid="{00000000-0005-0000-0000-00007E000000}"/>
    <cellStyle name="표준 4" xfId="98" xr:uid="{00000000-0005-0000-0000-00007F000000}"/>
    <cellStyle name="표준 4 2" xfId="99" xr:uid="{00000000-0005-0000-0000-000080000000}"/>
    <cellStyle name="표준 43" xfId="100" xr:uid="{00000000-0005-0000-0000-000081000000}"/>
    <cellStyle name="표준 46" xfId="101" xr:uid="{00000000-0005-0000-0000-000082000000}"/>
    <cellStyle name="표준 46 2" xfId="102" xr:uid="{00000000-0005-0000-0000-000083000000}"/>
    <cellStyle name="표준 47" xfId="103" xr:uid="{00000000-0005-0000-0000-000084000000}"/>
    <cellStyle name="표준 47 2" xfId="104" xr:uid="{00000000-0005-0000-0000-000085000000}"/>
    <cellStyle name="표준 5" xfId="105" xr:uid="{00000000-0005-0000-0000-000086000000}"/>
    <cellStyle name="표준 50" xfId="106" xr:uid="{00000000-0005-0000-0000-000087000000}"/>
    <cellStyle name="표준 53" xfId="107" xr:uid="{00000000-0005-0000-0000-000088000000}"/>
    <cellStyle name="표준 59" xfId="108" xr:uid="{00000000-0005-0000-0000-000089000000}"/>
    <cellStyle name="표준 6" xfId="109" xr:uid="{00000000-0005-0000-0000-00008A000000}"/>
    <cellStyle name="표준 60" xfId="110" xr:uid="{00000000-0005-0000-0000-00008B000000}"/>
    <cellStyle name="표준 7" xfId="111" xr:uid="{00000000-0005-0000-0000-00008C000000}"/>
    <cellStyle name="표준 8" xfId="112" xr:uid="{00000000-0005-0000-0000-00008D000000}"/>
    <cellStyle name="표준 9" xfId="113" xr:uid="{00000000-0005-0000-0000-00008E000000}"/>
    <cellStyle name="표준_시험·검사용 시약과 초자  기초금액 산출 명세서" xfId="114" xr:uid="{00000000-0005-0000-0000-00008F000000}"/>
    <cellStyle name="표준_호남대조리과학_광주과학견적서폼(1)_축산" xfId="115" xr:uid="{00000000-0005-0000-0000-000090000000}"/>
    <cellStyle name="하이퍼링크" xfId="143" builtinId="8"/>
    <cellStyle name="하이퍼링크 2" xfId="116" xr:uid="{00000000-0005-0000-0000-000092000000}"/>
    <cellStyle name="하이퍼링크 2 2" xfId="117" xr:uid="{00000000-0005-0000-0000-000093000000}"/>
    <cellStyle name="합산" xfId="118" xr:uid="{00000000-0005-0000-0000-000094000000}"/>
    <cellStyle name="화폐기호" xfId="119" xr:uid="{00000000-0005-0000-0000-000095000000}"/>
    <cellStyle name="화폐기호0" xfId="120" xr:uid="{00000000-0005-0000-0000-00009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Program%20Files\Microsoft%20Office\&#51060;&#44277;&#44284;&#54617;\&#44508;&#44201;&#49436;\&#53440;&#44508;&#44201;&#49436;\&#54028;&#47560;&#49884;&#505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4;&#51201;&#49436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51652;&#46039;&#44060;\60e&#51652;&#46039;&#440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47924;&#50504;&#49345;&#49688;&#46020;\U3010off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49457;&#54617;\&#50857;&#46020;\&#52488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45224;&#50896;&#44256;&#45257;&#51648;&#54868;&#55036;&#49884;&#54744;&#51109;\U3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p-2013120401\&#49436;&#47536;&#49324;&#51060;&#50616;&#49828;&#44277;&#50976;&#54260;&#459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yjask\&#48148;&#53461;%20&#54868;&#47732;\&#47928;&#49436;\&#51221;&#48372;&#54868;\&#49688;&#46020;&#51333;&#54633;&#51221;&#48372;&#49884;&#49828;&#53596;\&#49548;&#44508;&#47784;&#49884;&#4944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</sheetNames>
    <sheetDataSet>
      <sheetData sheetId="0"/>
      <sheetData sheetId="1"/>
      <sheetData sheetId="2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>
        <row r="1">
          <cell r="A1" t="str">
            <v/>
          </cell>
        </row>
        <row r="3">
          <cell r="A3" t="str">
            <v xml:space="preserve">   PART NO.</v>
          </cell>
          <cell r="D3" t="str">
            <v xml:space="preserve">               DESCRIPTION</v>
          </cell>
          <cell r="G3" t="str">
            <v xml:space="preserve">   Q'TY</v>
          </cell>
          <cell r="I3" t="str">
            <v xml:space="preserve">  U/PRICE</v>
          </cell>
          <cell r="J3" t="str">
            <v>TOTAL</v>
          </cell>
        </row>
        <row r="4">
          <cell r="J4" t="str">
            <v/>
          </cell>
        </row>
        <row r="5">
          <cell r="J5" t="str">
            <v/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견적서 (2)"/>
      <sheetName val="3010-1"/>
    </sheet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9년 3월경"/>
      <sheetName val="99년_3월경"/>
      <sheetName val="상세내역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3010"/>
    </sheetNames>
    <sheetDataSet>
      <sheetData sheetId="0">
        <row r="6">
          <cell r="A6" t="str">
            <v>HSK Code No. : 9027.30.2000</v>
          </cell>
        </row>
        <row r="8">
          <cell r="A8" t="str">
            <v>High Performance  Double Beam</v>
          </cell>
        </row>
        <row r="9">
          <cell r="A9" t="str">
            <v>UV/VIS Spectrophotometer</v>
          </cell>
        </row>
        <row r="10">
          <cell r="A10" t="str">
            <v>Hitachi Model U-3010</v>
          </cell>
          <cell r="E10">
            <v>1</v>
          </cell>
          <cell r="F10" t="str">
            <v>set</v>
          </cell>
          <cell r="G10" t="str">
            <v/>
          </cell>
          <cell r="H10">
            <v>1580000</v>
          </cell>
        </row>
        <row r="11">
          <cell r="A11" t="str">
            <v>for 220 Volt, 60Hz</v>
          </cell>
        </row>
        <row r="12">
          <cell r="A12" t="str">
            <v>P/N : 130-0003</v>
          </cell>
        </row>
        <row r="15">
          <cell r="A15" t="str">
            <v>-</v>
          </cell>
          <cell r="B15" t="str">
            <v>Monochromator : High performance Seya-Namioka Mount using Hitachi</v>
          </cell>
        </row>
        <row r="16">
          <cell r="B16" t="str">
            <v xml:space="preserve">    high resolution mechanical ruled Aberration corrected concave</v>
          </cell>
        </row>
        <row r="17">
          <cell r="B17" t="str">
            <v xml:space="preserve">    diffraction grating</v>
          </cell>
        </row>
        <row r="18">
          <cell r="A18" t="str">
            <v>-</v>
          </cell>
          <cell r="B18" t="str">
            <v>Wavelength range  : 190 - 900nm</v>
          </cell>
        </row>
        <row r="19">
          <cell r="A19" t="str">
            <v>-</v>
          </cell>
          <cell r="B19" t="str">
            <v>Stray light level : Less than 0.015%T</v>
          </cell>
        </row>
        <row r="20">
          <cell r="A20" t="str">
            <v>-</v>
          </cell>
          <cell r="B20" t="str">
            <v>Spectral Bandpass : 0.1, 0.5, 1, 2, 4, 5nm</v>
          </cell>
        </row>
        <row r="21">
          <cell r="A21" t="str">
            <v>-</v>
          </cell>
          <cell r="B21" t="str">
            <v>Built in Automatic wavelength calibration and Auto Start Function</v>
          </cell>
        </row>
        <row r="22">
          <cell r="A22" t="str">
            <v>-</v>
          </cell>
          <cell r="B22" t="str">
            <v>Built in Full complement quantitative measurement and Calculation Function</v>
          </cell>
        </row>
        <row r="23">
          <cell r="A23" t="str">
            <v>-</v>
          </cell>
          <cell r="B23" t="str">
            <v>Built in S/N user selectable function and File conversion Function</v>
          </cell>
        </row>
        <row r="24">
          <cell r="A24" t="str">
            <v>-</v>
          </cell>
          <cell r="B24" t="str">
            <v>Built in Cell length automatic conversion Function</v>
          </cell>
        </row>
        <row r="25">
          <cell r="A25" t="str">
            <v>-</v>
          </cell>
          <cell r="B25" t="str">
            <v>Built in Micro focusing optical system</v>
          </cell>
        </row>
        <row r="26">
          <cell r="A26" t="str">
            <v>-</v>
          </cell>
          <cell r="B26" t="str">
            <v>Built in Baseline Memory Function by 3ch (System 2ch, user 1ch)</v>
          </cell>
        </row>
        <row r="27">
          <cell r="A27" t="str">
            <v>-</v>
          </cell>
          <cell r="B27" t="str">
            <v>Built in Differential Feed back method function</v>
          </cell>
        </row>
        <row r="28">
          <cell r="A28" t="str">
            <v>-</v>
          </cell>
          <cell r="B28" t="str">
            <v>Built in High performance R928 photomultiplier Detector</v>
          </cell>
        </row>
        <row r="29">
          <cell r="A29" t="str">
            <v>-</v>
          </cell>
          <cell r="B29" t="str">
            <v>Photometric Mode : Abs, %T, %R, E(S), E(R)</v>
          </cell>
        </row>
        <row r="30">
          <cell r="A30" t="str">
            <v>-</v>
          </cell>
          <cell r="B30" t="str">
            <v>Photometric range :  Abs ; -2.0 to 3.0 Abs,   %T ; 0 to 300%T</v>
          </cell>
        </row>
        <row r="31">
          <cell r="A31" t="str">
            <v>-</v>
          </cell>
          <cell r="B31" t="str">
            <v>Baseline stability : ±0.0004 Abs/h (at 340nm)</v>
          </cell>
        </row>
        <row r="34">
          <cell r="A34" t="str">
            <v>Standard Equipment :</v>
          </cell>
        </row>
        <row r="36">
          <cell r="A36" t="str">
            <v>o</v>
          </cell>
          <cell r="B36" t="str">
            <v xml:space="preserve">U-3010 Main Spectrophotometer               </v>
          </cell>
          <cell r="E36">
            <v>1</v>
          </cell>
          <cell r="F36" t="str">
            <v>set</v>
          </cell>
        </row>
        <row r="37">
          <cell r="A37" t="str">
            <v>o</v>
          </cell>
          <cell r="B37" t="str">
            <v>Tool kit (screwdrivers, etc.)</v>
          </cell>
          <cell r="E37">
            <v>1</v>
          </cell>
          <cell r="F37" t="str">
            <v>set</v>
          </cell>
        </row>
        <row r="38">
          <cell r="A38" t="str">
            <v>o</v>
          </cell>
          <cell r="B38" t="str">
            <v xml:space="preserve">Instruction manual                                      </v>
          </cell>
          <cell r="E38">
            <v>1</v>
          </cell>
          <cell r="F38" t="str">
            <v>copy</v>
          </cell>
        </row>
        <row r="39">
          <cell r="A39" t="str">
            <v>o</v>
          </cell>
          <cell r="B39" t="str">
            <v>Standard operation software for U-3010</v>
          </cell>
          <cell r="E39">
            <v>1</v>
          </cell>
          <cell r="F39" t="str">
            <v>ea</v>
          </cell>
        </row>
        <row r="40">
          <cell r="A40" t="str">
            <v>o</v>
          </cell>
          <cell r="B40" t="str">
            <v>D2 Lamp</v>
          </cell>
          <cell r="E40">
            <v>1</v>
          </cell>
          <cell r="F40" t="str">
            <v>ea</v>
          </cell>
        </row>
        <row r="41">
          <cell r="A41" t="str">
            <v>o</v>
          </cell>
          <cell r="B41" t="str">
            <v>WI Lamp</v>
          </cell>
          <cell r="E41">
            <v>1</v>
          </cell>
          <cell r="F41" t="str">
            <v>ea</v>
          </cell>
        </row>
        <row r="44">
          <cell r="A44" t="str">
            <v>Accessories :</v>
          </cell>
        </row>
        <row r="46">
          <cell r="A46" t="str">
            <v>1.</v>
          </cell>
          <cell r="B46" t="str">
            <v>130-0600</v>
          </cell>
          <cell r="C46" t="str">
            <v>Sample sipper</v>
          </cell>
          <cell r="E46">
            <v>1</v>
          </cell>
          <cell r="F46" t="str">
            <v>ea</v>
          </cell>
          <cell r="H46">
            <v>250000</v>
          </cell>
        </row>
        <row r="47">
          <cell r="A47" t="str">
            <v>2.</v>
          </cell>
          <cell r="B47" t="str">
            <v>210-2110</v>
          </cell>
          <cell r="C47" t="str">
            <v>5-position turret cell holder</v>
          </cell>
          <cell r="E47">
            <v>1</v>
          </cell>
          <cell r="F47" t="str">
            <v>ea</v>
          </cell>
          <cell r="H47">
            <v>120000</v>
          </cell>
        </row>
        <row r="48">
          <cell r="A48" t="str">
            <v>3.</v>
          </cell>
          <cell r="B48" t="str">
            <v>885-1200</v>
          </cell>
          <cell r="C48" t="str">
            <v>Iodinetungsten Lamp</v>
          </cell>
          <cell r="E48">
            <v>1</v>
          </cell>
          <cell r="F48" t="str">
            <v>ea</v>
          </cell>
          <cell r="H48">
            <v>3700</v>
          </cell>
        </row>
        <row r="49">
          <cell r="A49" t="str">
            <v>4.</v>
          </cell>
          <cell r="B49" t="str">
            <v>239-0354</v>
          </cell>
          <cell r="C49" t="str">
            <v>Deutrium Lamp</v>
          </cell>
          <cell r="E49">
            <v>1</v>
          </cell>
          <cell r="F49" t="str">
            <v>ea</v>
          </cell>
          <cell r="H49">
            <v>45500</v>
          </cell>
        </row>
        <row r="50">
          <cell r="A50" t="str">
            <v/>
          </cell>
        </row>
        <row r="51">
          <cell r="E51" t="str">
            <v>Total</v>
          </cell>
          <cell r="F51" t="str">
            <v>--------------------------</v>
          </cell>
          <cell r="H51">
            <v>1999200</v>
          </cell>
        </row>
        <row r="55">
          <cell r="A55" t="str">
            <v>Local Supply Items :</v>
          </cell>
        </row>
        <row r="57">
          <cell r="A57" t="str">
            <v>1.</v>
          </cell>
          <cell r="B57" t="str">
            <v>Data system</v>
          </cell>
          <cell r="E57">
            <v>1</v>
          </cell>
          <cell r="F57" t="str">
            <v>system</v>
          </cell>
          <cell r="H57">
            <v>3000000</v>
          </cell>
        </row>
        <row r="58">
          <cell r="B58" t="str">
            <v>Consists of :</v>
          </cell>
        </row>
        <row r="59">
          <cell r="B59" t="str">
            <v>1) IBM Compatible Personal Computer</v>
          </cell>
          <cell r="E59">
            <v>1</v>
          </cell>
          <cell r="F59" t="str">
            <v>set</v>
          </cell>
        </row>
        <row r="60">
          <cell r="B60" t="str">
            <v xml:space="preserve">    o CPU : Pentium, 166 MHz</v>
          </cell>
        </row>
        <row r="61">
          <cell r="B61" t="str">
            <v xml:space="preserve">    o Memory : 32 MB</v>
          </cell>
        </row>
        <row r="62">
          <cell r="B62" t="str">
            <v xml:space="preserve">    o HDD : 1.2 GB</v>
          </cell>
        </row>
        <row r="63">
          <cell r="B63" t="str">
            <v xml:space="preserve">    o FDD : 3.5 inch</v>
          </cell>
        </row>
        <row r="64">
          <cell r="B64" t="str">
            <v xml:space="preserve">    o 15 inch Color SVGA Monitor</v>
          </cell>
        </row>
        <row r="65">
          <cell r="B65" t="str">
            <v xml:space="preserve">    o 2 RS-232C ports &amp; 1 parallel port</v>
          </cell>
        </row>
        <row r="66">
          <cell r="B66" t="str">
            <v xml:space="preserve">    o Mouse and Keyboard</v>
          </cell>
        </row>
        <row r="67">
          <cell r="B67" t="str">
            <v xml:space="preserve">    o MS-Windows 95</v>
          </cell>
        </row>
        <row r="68">
          <cell r="B68" t="str">
            <v>2) Ink Jet color printer</v>
          </cell>
          <cell r="E68">
            <v>1</v>
          </cell>
          <cell r="F68" t="str">
            <v/>
          </cell>
        </row>
        <row r="70">
          <cell r="A70" t="str">
            <v>2.</v>
          </cell>
          <cell r="B70" t="str">
            <v>10mm Quartz cell</v>
          </cell>
          <cell r="E70">
            <v>4</v>
          </cell>
          <cell r="F70" t="str">
            <v>ea</v>
          </cell>
          <cell r="G70">
            <v>100000</v>
          </cell>
          <cell r="H70">
            <v>400000</v>
          </cell>
        </row>
        <row r="71">
          <cell r="A71" t="str">
            <v/>
          </cell>
        </row>
        <row r="72">
          <cell r="E72" t="str">
            <v>Total F.O.B Japanese Airport</v>
          </cell>
          <cell r="F72" t="str">
            <v>--------------------------</v>
          </cell>
          <cell r="H72">
            <v>1999200</v>
          </cell>
        </row>
        <row r="73">
          <cell r="G73" t="str">
            <v>+</v>
          </cell>
          <cell r="H73">
            <v>3400000</v>
          </cell>
        </row>
        <row r="76">
          <cell r="A76" t="str">
            <v>Remarks :</v>
          </cell>
        </row>
        <row r="78">
          <cell r="A78" t="str">
            <v>1.</v>
          </cell>
          <cell r="B78" t="str">
            <v>Warranty : 1 year after Installation</v>
          </cell>
        </row>
        <row r="80">
          <cell r="A80" t="str">
            <v>2.</v>
          </cell>
          <cell r="B80" t="str">
            <v xml:space="preserve">Installation &amp; operation : </v>
          </cell>
        </row>
        <row r="81">
          <cell r="B81" t="str">
            <v xml:space="preserve">  Will be executed by factory trained engineer</v>
          </cell>
        </row>
        <row r="82">
          <cell r="B82" t="str">
            <v xml:space="preserve">  free of charge.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>
        <row r="1">
          <cell r="A1" t="str">
            <v>지방</v>
          </cell>
          <cell r="B1" t="str">
            <v>사용</v>
          </cell>
        </row>
        <row r="2">
          <cell r="A2" t="str">
            <v>광역</v>
          </cell>
          <cell r="B2" t="str">
            <v>미사용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1368510</v>
      </c>
      <c r="C12" s="61"/>
      <c r="D12" s="59">
        <f>+F24</f>
        <v>1368510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Amicon Ultra-15</t>
        </is>
      </c>
      <c r="C16" s="32" t="inlineStr">
        <is>
          <t xml:space="preserve">UFC901024</t>
        </is>
      </c>
      <c r="D16" s="40" t="inlineStr">
        <is>
          <t xml:space="preserve">EA</t>
        </is>
      </c>
      <c r="E16" s="41">
        <v>1</v>
      </c>
      <c r="F16" s="45">
        <v>649000</v>
      </c>
      <c r="G16" s="33">
        <f>F16*E16</f>
        <v>649000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Quick-DNA Fungal/Bacterial Kit 50Preps</t>
        </is>
      </c>
      <c r="C17" s="34" t="inlineStr">
        <is>
          <t xml:space="preserve">D6005</t>
        </is>
      </c>
      <c r="D17" s="40" t="inlineStr">
        <is>
          <t xml:space="preserve">EA</t>
        </is>
      </c>
      <c r="E17" s="41">
        <v>1</v>
      </c>
      <c r="F17" s="45">
        <v>388410</v>
      </c>
      <c r="G17" s="33">
        <f>F17*E17</f>
        <v>388410</v>
      </c>
      <c r="H17" s="93"/>
    </row>
    <row r="18" spans="1:10" s="2" customFormat="1" ht="39" customHeight="1">
      <c r="A18" s="26">
        <v>3</v>
      </c>
      <c r="B18" s="44" t="inlineStr">
        <is>
          <t xml:space="preserve">Fisher Water HPLC GRADE 4L [4EA/BOX]</t>
        </is>
      </c>
      <c r="C18" s="32" t="inlineStr">
        <is>
          <t xml:space="preserve">W5-4</t>
        </is>
      </c>
      <c r="D18" s="40" t="inlineStr">
        <is>
          <t xml:space="preserve">BOX</t>
        </is>
      </c>
      <c r="E18" s="46">
        <v>2</v>
      </c>
      <c r="F18" s="45">
        <v>91300</v>
      </c>
      <c r="G18" s="33">
        <f>F18*E18</f>
        <v>182600</v>
      </c>
      <c r="H18" s="93"/>
    </row>
    <row r="19" spans="1:10" s="2" customFormat="1" ht="39" customHeight="1">
      <c r="A19" s="26">
        <v>4</v>
      </c>
      <c r="B19" s="44" t="inlineStr">
        <is>
          <t xml:space="preserve">Red PTFE/white silicone septa, blue, screw cap, 2ml, 100/pk</t>
        </is>
      </c>
      <c r="C19" s="32" t="inlineStr">
        <is>
          <t xml:space="preserve">CTC-0952RB</t>
        </is>
      </c>
      <c r="D19" s="40" t="inlineStr">
        <is>
          <t xml:space="preserve">PK</t>
        </is>
      </c>
      <c r="E19" s="46">
        <v>10</v>
      </c>
      <c r="F19" s="45">
        <v>14850</v>
      </c>
      <c r="G19" s="33">
        <f>F19*E19</f>
        <v>148500</v>
      </c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1368510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1368510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견적서!Print_Titles</vt:lpstr>
    </vt:vector>
  </TitlesOfParts>
  <Company>Extra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XPuser</dc:creator>
  <cp:lastModifiedBy>세환</cp:lastModifiedBy>
  <cp:lastPrinted>2021-11-11T08:42:08Z</cp:lastPrinted>
  <dcterms:created xsi:type="dcterms:W3CDTF">2008-02-12T02:33:53Z</dcterms:created>
  <dcterms:modified xsi:type="dcterms:W3CDTF">2026-10-01T08:50:18Z</dcterms:modified>
</cp:coreProperties>
</file>