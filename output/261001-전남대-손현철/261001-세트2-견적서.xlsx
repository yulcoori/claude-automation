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706C9789-AF22-4A19-BD06-E901A9917C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<sst xmlns="http://schemas.openxmlformats.org/spreadsheetml/2006/main" count="41" uniqueCount="39">
  <si>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</si>
  <si>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</si>
  <si>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</si>
  <si>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</si>
  <si>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</si>
  <si>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</si>
  <si>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</si>
  <si>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</si>
  <si>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</si>
  <si>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</si>
  <si>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</si>
  <si>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</si>
  <si>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</si>
  <si>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</si>
  <si>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</si>
  <si>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</si>
  <si>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</si>
  <si>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</si>
  <si>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</si>
  <si>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</si>
  <si>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</si>
  <si>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일자 :</t>
    <phoneticPr fontId="8" type="noConversion"/>
  </si>
  <si>
    <t>견    적    서</t>
    <phoneticPr fontId="8" type="noConversion"/>
  </si>
  <si>
    <t>*아래와 같이 견적드립니다.</t>
    <phoneticPr fontId="8" type="noConversion"/>
  </si>
  <si>
    <t xml:space="preserve">견적금액 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</si>
  <si>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</si>
  <si>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</si>
  <si>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</si>
  <si>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</si>
  <si>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</si>
  <si>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</si>
  <si>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</si>
  <si>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</si>
  <si>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Piko PCR Plate, 96-well, clear</t>
    <phoneticPr fontId="8" type="noConversion"/>
  </si>
  <si>
    <t>SPL0960</t>
    <phoneticPr fontId="8" type="noConversion"/>
  </si>
  <si>
    <t>ATP Determination Kit</t>
    <phoneticPr fontId="8" type="noConversion"/>
  </si>
  <si>
    <t>A22066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</si>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</sst>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7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8"/>
  <sheetViews>
    <sheetView tabSelected="1" view="pageBreakPreview" zoomScale="75" zoomScaleNormal="75" zoomScaleSheetLayoutView="75" workbookViewId="0">
      <selection activeCell="B18" sqref="B18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22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21</v>
      </c>
      <c r="B3" s="36">
        <v>46289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28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25</v>
      </c>
      <c r="G6" s="5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26</v>
      </c>
      <c r="G7" s="5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 t="s">
        <v>23</v>
      </c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24</v>
      </c>
      <c r="B12" s="60">
        <f>+D12</f>
        <v>1619200</v>
      </c>
      <c r="C12" s="61"/>
      <c r="D12" s="59">
        <f>+F24</f>
        <v>1619200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HLB, Syringe filter, 13mm, 0.22um, 100/pk [pk]</t>
        </is>
      </c>
      <c r="C16" s="32" t="inlineStr">
        <is>
          <t xml:space="preserve">SF13-HLB22-M</t>
        </is>
      </c>
      <c r="D16" s="40" t="inlineStr">
        <is>
          <t xml:space="preserve">PK</t>
        </is>
      </c>
      <c r="E16" s="41">
        <v>20</v>
      </c>
      <c r="F16" s="45">
        <v>75900</v>
      </c>
      <c r="G16" s="33">
        <f>F16*E16</f>
        <v>1518000</v>
      </c>
      <c r="H16" s="92" t="s">
        <v>30</v>
      </c>
    </row>
    <row r="17" spans="1:10" s="2" customFormat="1" ht="39" customHeight="1">
      <c r="A17" s="26">
        <v>2</v>
      </c>
      <c r="B17" s="43" t="inlineStr">
        <is>
          <t xml:space="preserve">2-Propanol (HPLC), Fisher Chemical™</t>
        </is>
      </c>
      <c r="C17" s="34" t="inlineStr">
        <is>
          <t xml:space="preserve">A451-4</t>
        </is>
      </c>
      <c r="D17" s="40" t="inlineStr">
        <is>
          <t xml:space="preserve">EA</t>
        </is>
      </c>
      <c r="E17" s="41">
        <v>1</v>
      </c>
      <c r="F17" s="45">
        <v>47300</v>
      </c>
      <c r="G17" s="33">
        <f>F17*E17</f>
        <v>47300</v>
      </c>
      <c r="H17" s="93"/>
    </row>
    <row r="18" spans="1:10" s="2" customFormat="1" ht="39" customHeight="1">
      <c r="A18" s="26">
        <v>3</v>
      </c>
      <c r="B18" s="44" t="inlineStr">
        <is>
          <t xml:space="preserve">Hexylene glycol [100g]</t>
        </is>
      </c>
      <c r="C18" s="32" t="inlineStr">
        <is>
          <t xml:space="preserve">68340</t>
        </is>
      </c>
      <c r="D18" s="40" t="inlineStr">
        <is>
          <t xml:space="preserve">EA</t>
        </is>
      </c>
      <c r="E18" s="46">
        <v>1</v>
      </c>
      <c r="F18" s="45">
        <v>39600</v>
      </c>
      <c r="G18" s="33">
        <f>F18*E18</f>
        <v>39600</v>
      </c>
      <c r="H18" s="93"/>
    </row>
    <row r="19" spans="1:10" s="2" customFormat="1" ht="39" customHeight="1">
      <c r="A19" s="26">
        <v>4</v>
      </c>
      <c r="B19" s="44" t="inlineStr">
        <is>
          <t xml:space="preserve">Glycerol</t>
        </is>
      </c>
      <c r="C19" s="32" t="inlineStr">
        <is>
          <t xml:space="preserve">4066-4400</t>
        </is>
      </c>
      <c r="D19" s="40" t="inlineStr">
        <is>
          <t xml:space="preserve">EA</t>
        </is>
      </c>
      <c r="E19" s="46">
        <v>1</v>
      </c>
      <c r="F19" s="45">
        <v>14300</v>
      </c>
      <c r="G19" s="33">
        <f>F19*E19</f>
        <v>14300</v>
      </c>
      <c r="H19" s="96"/>
    </row>
    <row r="20" spans="1:10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0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</row>
    <row r="22" spans="1:10" s="2" customFormat="1" ht="41.25" customHeight="1">
      <c r="A22" s="12"/>
      <c r="B22" s="12"/>
      <c r="C22" s="12"/>
      <c r="D22" s="11"/>
      <c r="E22" s="22" t="s">
        <v>3</v>
      </c>
      <c r="F22" s="83">
        <f>SUM(G16:G20)</f>
        <v>1619200</v>
      </c>
      <c r="G22" s="84"/>
      <c r="H22" s="85"/>
      <c r="I22" s="1"/>
      <c r="J22" s="1"/>
    </row>
    <row r="23" spans="1:10" s="2" customFormat="1" ht="41.25" customHeight="1">
      <c r="A23" s="9" t="s">
        <v>4</v>
      </c>
      <c r="B23" s="9" t="s">
        <v>27</v>
      </c>
      <c r="C23" s="6"/>
      <c r="D23" s="13"/>
      <c r="E23" s="18" t="s">
        <v>5</v>
      </c>
      <c r="F23" s="86" t="s">
        <v>30</v>
      </c>
      <c r="G23" s="87"/>
      <c r="H23" s="88"/>
      <c r="I23" s="1"/>
      <c r="J23" s="1"/>
    </row>
    <row r="24" spans="1:10" s="2" customFormat="1" ht="41.25" customHeight="1">
      <c r="A24" s="9"/>
      <c r="B24" s="9"/>
      <c r="C24" s="6"/>
      <c r="D24" s="13"/>
      <c r="E24" s="18" t="s">
        <v>6</v>
      </c>
      <c r="F24" s="89">
        <f>F22</f>
        <v>1619200</v>
      </c>
      <c r="G24" s="90"/>
      <c r="H24" s="91"/>
      <c r="I24" s="1"/>
      <c r="J24" s="1"/>
    </row>
    <row r="25" spans="1:10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0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0" ht="27.75" customHeight="1">
      <c r="A27" s="73"/>
      <c r="B27" s="77"/>
      <c r="C27" s="78"/>
      <c r="D27" s="78"/>
      <c r="E27" s="78"/>
      <c r="F27" s="78"/>
      <c r="G27" s="78"/>
      <c r="H27" s="79"/>
    </row>
    <row r="28" spans="1:10" ht="27.75" customHeight="1">
      <c r="A28" s="73"/>
      <c r="B28" s="77"/>
      <c r="C28" s="78"/>
      <c r="D28" s="78"/>
      <c r="E28" s="78"/>
      <c r="F28" s="78"/>
      <c r="G28" s="78"/>
      <c r="H28" s="79"/>
    </row>
    <row r="29" spans="1:10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0" ht="27.75" customHeight="1"/>
    <row r="31" spans="1:10" ht="27.75" customHeight="1"/>
    <row r="32" spans="1:10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2021-11-11T08:42:08Z</cp:lastPrinted>
  <dcterms:created xsi:type="dcterms:W3CDTF">2008-02-12T02:33:53Z</dcterms:created>
  <dcterms:modified xsi:type="dcterms:W3CDTF">2026-10-01T08:50:18Z</dcterms:modified>
</cp:coreProperties>
</file>