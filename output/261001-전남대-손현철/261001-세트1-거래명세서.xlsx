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<sst xmlns="http://schemas.openxmlformats.org/spreadsheetml/2006/main" count="40" uniqueCount="37">
  <si>
    <t xml:space="preserve">거래명세서</t>
  </si>
  <si>
    <r>
      <rPr>
        <b val="true"/>
        <sz val="11"/>
        <rFont val="WenQuanYi Zen Hei"/>
        <family val="2"/>
      </rPr>
      <t xml:space="preserve">일  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</si>
  <si>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</si>
  <si>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</si>
  <si>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</si>
  <si>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</si>
  <si>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</si>
  <si>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</si>
  <si>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</si>
  <si>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</si>
  <si>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</si>
  <si>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</si>
  <si>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</si>
  <si>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</si>
  <si>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t xml:space="preserve">금  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</si>
  <si>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</si>
  <si>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</si>
  <si>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</si>
  <si>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</si>
  <si>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</si>
  <si>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</si>
  <si>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</si>
  <si>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</si>
  <si>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Acclaim Trinity P2, 3um</t>
  </si>
  <si>
    <t xml:space="preserve">085432</t>
  </si>
  <si>
    <t xml:space="preserve">EA</t>
  </si>
  <si>
    <t xml:space="preserve">부가세 포함</t>
  </si>
  <si>
    <t xml:space="preserve">Sulfuric acid</t>
  </si>
  <si>
    <t xml:space="preserve">7683-4100</t>
  </si>
  <si>
    <t xml:space="preserve">Ferrous Sulfate heptahydrate 98% | CAS 7782-63-0, EP, 500G, DUKSAN</t>
  </si>
  <si>
    <t xml:space="preserve">D681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</si>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</sst>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5" zoomScalePageLayoutView="100" workbookViewId="0">
      <selection pane="topLeft" activeCell="B4" activeCellId="0" sqref="B4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46296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/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14</v>
      </c>
      <c r="B12" s="29" t="n">
        <f aca="false">+D12</f>
        <v>2083840</v>
      </c>
      <c r="C12" s="29"/>
      <c r="D12" s="30" t="n">
        <f aca="false">+F24</f>
        <v>2083840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15</v>
      </c>
      <c r="B14" s="33" t="s">
        <v>16</v>
      </c>
      <c r="C14" s="33" t="s">
        <v>17</v>
      </c>
      <c r="D14" s="33" t="s">
        <v>18</v>
      </c>
      <c r="E14" s="33" t="s">
        <v>19</v>
      </c>
      <c r="F14" s="34" t="s">
        <v>20</v>
      </c>
      <c r="G14" s="34" t="s">
        <v>21</v>
      </c>
      <c r="H14" s="34" t="s">
        <v>22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23</v>
      </c>
      <c r="C16" s="37" t="s">
        <v>24</v>
      </c>
      <c r="D16" s="38" t="s">
        <v>25</v>
      </c>
      <c r="E16" s="39" t="n">
        <v>1</v>
      </c>
      <c r="F16" s="40" t="n">
        <v>2067890</v>
      </c>
      <c r="G16" s="41" t="n">
        <f aca="false">F16*E16</f>
        <v>2067890</v>
      </c>
      <c r="H16" s="42" t="s">
        <v>26</v>
      </c>
    </row>
    <row r="17" s="1" customFormat="true" ht="39" hidden="false" customHeight="true" outlineLevel="0" collapsed="false">
      <c r="A17" s="35" t="n">
        <v>2</v>
      </c>
      <c r="B17" s="43" t="s">
        <v>27</v>
      </c>
      <c r="C17" s="44" t="s">
        <v>28</v>
      </c>
      <c r="D17" s="38" t="s">
        <v>25</v>
      </c>
      <c r="E17" s="39" t="n">
        <v>1</v>
      </c>
      <c r="F17" s="40" t="n">
        <v>10450</v>
      </c>
      <c r="G17" s="41" t="n">
        <f aca="false">F17*E17</f>
        <v>10450</v>
      </c>
      <c r="H17" s="42"/>
    </row>
    <row r="18" s="1" customFormat="true" ht="39" hidden="false" customHeight="true" outlineLevel="0" collapsed="false">
      <c r="A18" s="35" t="n">
        <v>3</v>
      </c>
      <c r="B18" s="45" t="s">
        <v>29</v>
      </c>
      <c r="C18" s="37" t="s">
        <v>30</v>
      </c>
      <c r="D18" s="38" t="s">
        <v>25</v>
      </c>
      <c r="E18" s="46" t="n">
        <v>1</v>
      </c>
      <c r="F18" s="40" t="n">
        <v>5500</v>
      </c>
      <c r="G18" s="41" t="n">
        <f aca="false">F18*E18</f>
        <v>5500</v>
      </c>
      <c r="H18" s="42"/>
    </row>
    <row r="19" s="1" customFormat="true" ht="39" hidden="false" customHeight="true" outlineLevel="0" collapsed="false">
      <c r="A19" s="35"/>
      <c r="B19" s="45"/>
      <c r="C19" s="37"/>
      <c r="D19" s="38"/>
      <c r="E19" s="46"/>
      <c r="F19" s="40"/>
      <c r="G19" s="41"/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  <c r="K21" s="4"/>
    </row>
    <row r="22" s="1" customFormat="true" ht="36" hidden="false" customHeight="true" outlineLevel="0" collapsed="false">
      <c r="A22" s="57"/>
      <c r="B22" s="57"/>
      <c r="C22" s="57"/>
      <c r="D22" s="58"/>
      <c r="E22" s="59" t="s">
        <v>31</v>
      </c>
      <c r="F22" s="60" t="n">
        <f aca="false">SUM(G16:G20)</f>
        <v>2083840</v>
      </c>
      <c r="G22" s="60"/>
      <c r="H22" s="60"/>
      <c r="I22" s="4"/>
      <c r="J22" s="4"/>
      <c r="K22" s="4"/>
    </row>
    <row r="23" s="1" customFormat="true" ht="36" hidden="false" customHeight="true" outlineLevel="0" collapsed="false">
      <c r="A23" s="61" t="s">
        <v>32</v>
      </c>
      <c r="B23" s="61" t="s">
        <v>33</v>
      </c>
      <c r="C23" s="23"/>
      <c r="D23" s="62"/>
      <c r="E23" s="63" t="s">
        <v>34</v>
      </c>
      <c r="F23" s="64" t="s">
        <v>26</v>
      </c>
      <c r="G23" s="64"/>
      <c r="H23" s="64"/>
      <c r="I23" s="4"/>
      <c r="J23" s="4"/>
      <c r="K23" s="4"/>
    </row>
    <row r="24" s="1" customFormat="true" ht="36" hidden="false" customHeight="true" outlineLevel="0" collapsed="false">
      <c r="A24" s="61"/>
      <c r="B24" s="61"/>
      <c r="C24" s="23"/>
      <c r="D24" s="62"/>
      <c r="E24" s="65" t="s">
        <v>35</v>
      </c>
      <c r="F24" s="66" t="n">
        <f aca="false">F22</f>
        <v>2083840</v>
      </c>
      <c r="G24" s="66"/>
      <c r="H24" s="66"/>
      <c r="I24" s="4"/>
      <c r="J24" s="4"/>
      <c r="K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36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2026-09-09T01:01:24Z</cp:lastPrinted>
  <dcterms:modified xsi:type="dcterms:W3CDTF">2026-10-20T09:30:40Z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