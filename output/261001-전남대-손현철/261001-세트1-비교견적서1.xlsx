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xl/media/image3.jpeg" ContentType="image/jpeg"/>
  <Override PartName="/xl/media/image4.jpeg" ContentType="image/jpeg"/>
  <Override PartName="/xl/media/image5.jpeg" ContentType="image/jpeg"/>
  <Override PartName="/xl/media/image6.png" ContentType="image/png"/>
  <Override PartName="/xl/media/image10.png" ContentType="image/png"/>
  <Override PartName="/xl/media/image7.jpeg" ContentType="image/jpeg"/>
  <Override PartName="/xl/media/image8.png" ContentType="image/png"/>
  <Override PartName="/xl/media/image12.png" ContentType="image/png"/>
  <Override PartName="/xl/media/image9.png" ContentType="image/png"/>
  <Override PartName="/xl/media/image11.jpeg" ContentType="image/jpeg"/>
  <Override PartName="/xl/media/image13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-8" sheetId="1" state="visible" r:id="rId3"/>
  </sheets>
  <definedNames>
    <definedName function="false" hidden="false" localSheetId="0" name="_xlnm.Print_Area" vbProcedure="false">'6-8'!$A$1:$H$31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<sst xmlns="http://schemas.openxmlformats.org/spreadsheetml/2006/main" count="33" uniqueCount="31">
  <si>
    <t xml:space="preserve">견적서</t>
  </si>
  <si>
    <t xml:space="preserve">전남대학교 산학협력단  귀하</t>
  </si>
  <si>
    <r>
      <rPr>
        <b val="true"/>
        <sz val="12"/>
        <rFont val="굴림"/>
        <family val="3"/>
        <charset val="129"/>
      </rPr>
      <t xml:space="preserve">2026</t>
    </r>
    <r>
      <rPr>
        <b val="true"/>
        <sz val="12"/>
        <rFont val="WenQuanYi Zen Hei"/>
        <family val="2"/>
      </rPr>
      <t xml:space="preserve">년  </t>
    </r>
    <r>
      <rPr>
        <b val="true"/>
        <sz val="12"/>
        <rFont val="굴림"/>
        <family val="3"/>
        <charset val="129"/>
      </rPr>
      <t xml:space="preserve">09</t>
    </r>
    <r>
      <rPr>
        <b val="true"/>
        <sz val="12"/>
        <rFont val="WenQuanYi Zen Hei"/>
        <family val="2"/>
      </rPr>
      <t xml:space="preserve">월  </t>
    </r>
    <r>
      <rPr>
        <b val="true"/>
        <sz val="12"/>
        <rFont val="굴림"/>
        <family val="3"/>
        <charset val="129"/>
      </rPr>
      <t xml:space="preserve">24</t>
    </r>
    <r>
      <rPr>
        <b val="true"/>
        <sz val="12"/>
        <rFont val="WenQuanYi Zen Hei"/>
        <family val="2"/>
      </rPr>
      <t xml:space="preserve">일</t>
    </r>
  </si>
  <si>
    <r>
      <rPr>
        <b val="true"/>
        <sz val="14"/>
        <rFont val="WenQuanYi Zen Hei"/>
        <family val="2"/>
      </rPr>
      <t xml:space="preserve">아래와 같이 견적합니다</t>
    </r>
    <r>
      <rPr>
        <b val="true"/>
        <sz val="14"/>
        <rFont val="굴림"/>
        <family val="3"/>
        <charset val="129"/>
      </rPr>
      <t xml:space="preserve">.</t>
    </r>
  </si>
  <si>
    <t xml:space="preserve">http://www.i-moojinsci.co.kr/</t>
  </si>
  <si>
    <t xml:space="preserve">NO.</t>
  </si>
  <si>
    <t xml:space="preserve">품명 및 규격</t>
  </si>
  <si>
    <t xml:space="preserve">P/N</t>
  </si>
  <si>
    <t xml:space="preserve">단위</t>
  </si>
  <si>
    <t xml:space="preserve">수량</t>
  </si>
  <si>
    <t xml:space="preserve">단가</t>
  </si>
  <si>
    <t xml:space="preserve">금액</t>
  </si>
  <si>
    <t xml:space="preserve">Acclaim Trinity P2, 3um</t>
  </si>
  <si>
    <t xml:space="preserve">085432</t>
  </si>
  <si>
    <t xml:space="preserve">EA</t>
  </si>
  <si>
    <t xml:space="preserve">Sulfuric acid</t>
  </si>
  <si>
    <t xml:space="preserve">7683-4100</t>
  </si>
  <si>
    <t xml:space="preserve">Ferrous Sulfate heptahydrate 98% | CAS 7782-63-0, EP, 500G, DUKSAN</t>
  </si>
  <si>
    <t xml:space="preserve">D681</t>
  </si>
  <si>
    <t xml:space="preserve">부가세별도</t>
  </si>
  <si>
    <r>
      <rPr>
        <b val="true"/>
        <sz val="11"/>
        <color rgb="FF000000"/>
        <rFont val="WenQuanYi Zen Hei"/>
        <family val="2"/>
      </rPr>
      <t xml:space="preserve">납품기일</t>
    </r>
    <r>
      <rPr>
        <b val="true"/>
        <sz val="11"/>
        <color rgb="FF000000"/>
        <rFont val="굴림"/>
        <family val="3"/>
        <charset val="129"/>
      </rPr>
      <t xml:space="preserve">:</t>
    </r>
    <r>
      <rPr>
        <b val="true"/>
        <sz val="11"/>
        <color rgb="FF000000"/>
        <rFont val="WenQuanYi Zen Hei"/>
        <family val="2"/>
      </rPr>
      <t xml:space="preserve">수주후 </t>
    </r>
    <r>
      <rPr>
        <b val="true"/>
        <sz val="11"/>
        <color rgb="FF000000"/>
        <rFont val="굴림"/>
        <family val="3"/>
        <charset val="129"/>
      </rPr>
      <t xml:space="preserve">45</t>
    </r>
    <r>
      <rPr>
        <b val="true"/>
        <sz val="11"/>
        <color rgb="FF000000"/>
        <rFont val="WenQuanYi Zen Hei"/>
        <family val="2"/>
      </rPr>
      <t xml:space="preserve">일이내</t>
    </r>
  </si>
  <si>
    <t xml:space="preserve">합 계</t>
  </si>
  <si>
    <r>
      <rPr>
        <b val="true"/>
        <sz val="11"/>
        <rFont val="WenQuanYi Zen Hei"/>
        <family val="2"/>
      </rPr>
      <t xml:space="preserve">납품처</t>
    </r>
    <r>
      <rPr>
        <b val="true"/>
        <sz val="11"/>
        <rFont val="돋움"/>
        <family val="3"/>
        <charset val="129"/>
      </rPr>
      <t xml:space="preserve">:</t>
    </r>
  </si>
  <si>
    <t xml:space="preserve">VAT</t>
  </si>
  <si>
    <r>
      <rPr>
        <b val="true"/>
        <sz val="11"/>
        <rFont val="WenQuanYi Zen Hei"/>
        <family val="2"/>
      </rPr>
      <t xml:space="preserve">청구처</t>
    </r>
    <r>
      <rPr>
        <b val="true"/>
        <sz val="11"/>
        <rFont val="굴림"/>
        <family val="3"/>
        <charset val="129"/>
      </rPr>
      <t xml:space="preserve">:</t>
    </r>
    <r>
      <rPr>
        <b val="true"/>
        <sz val="11"/>
        <rFont val="WenQuanYi Zen Hei"/>
        <family val="2"/>
      </rPr>
      <t xml:space="preserve">상동</t>
    </r>
  </si>
  <si>
    <t xml:space="preserve">총 계</t>
  </si>
  <si>
    <r>
      <rPr>
        <b val="true"/>
        <sz val="11"/>
        <rFont val="WenQuanYi Zen Hei"/>
        <family val="2"/>
      </rPr>
      <t xml:space="preserve">견적서 유효기간</t>
    </r>
    <r>
      <rPr>
        <b val="true"/>
        <sz val="11"/>
        <rFont val="굴림"/>
        <family val="3"/>
        <charset val="129"/>
      </rPr>
      <t xml:space="preserve">:</t>
    </r>
    <r>
      <rPr>
        <b val="true"/>
        <sz val="11"/>
        <rFont val="WenQuanYi Zen Hei"/>
        <family val="2"/>
      </rPr>
      <t xml:space="preserve">발행일로부터 </t>
    </r>
    <r>
      <rPr>
        <b val="true"/>
        <sz val="11"/>
        <rFont val="굴림"/>
        <family val="3"/>
        <charset val="129"/>
      </rPr>
      <t xml:space="preserve">30</t>
    </r>
    <r>
      <rPr>
        <b val="true"/>
        <sz val="11"/>
        <rFont val="WenQuanYi Zen Hei"/>
        <family val="2"/>
      </rPr>
      <t xml:space="preserve">일간 유효</t>
    </r>
  </si>
  <si>
    <t xml:space="preserve">확인란</t>
  </si>
  <si>
    <r>
      <rPr>
        <sz val="11"/>
        <rFont val="굴림"/>
        <family val="3"/>
        <charset val="129"/>
      </rPr>
      <t xml:space="preserve">(</t>
    </r>
    <r>
      <rPr>
        <sz val="11"/>
        <rFont val="WenQuanYi Zen Hei"/>
        <family val="2"/>
      </rPr>
      <t xml:space="preserve">인</t>
    </r>
    <r>
      <rPr>
        <sz val="11"/>
        <rFont val="굴림"/>
        <family val="3"/>
        <charset val="129"/>
      </rPr>
      <t xml:space="preserve">)</t>
    </r>
  </si>
  <si>
    <r>
      <rPr>
        <b val="true"/>
        <sz val="11"/>
        <rFont val="WenQuanYi Zen Hei"/>
        <family val="2"/>
      </rPr>
      <t xml:space="preserve">연락처</t>
    </r>
    <r>
      <rPr>
        <b val="true"/>
        <sz val="11"/>
        <rFont val="굴림"/>
        <family val="3"/>
        <charset val="129"/>
      </rPr>
      <t xml:space="preserve">:062-267-8535</t>
    </r>
  </si>
  <si>
    <t xml:space="preserve">호남지역  실험실 및 연구기관 분석기기및 소모품 전문공급업체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</si>
</sst>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 * #,##0_ ;_ * \-#,##0_ ;_ * \-_ ;_ @_ "/>
    <numFmt numFmtId="166" formatCode="_ * #,##0.00_ ;_ * \-#,##0.00_ ;_ * \-??_ ;_ @_ "/>
    <numFmt numFmtId="167" formatCode="\₩#,##0;&quot;₩₩₩₩₩₩₩₩-&quot;#,##0"/>
    <numFmt numFmtId="168" formatCode="\₩#,##0.00;&quot;₩₩₩₩₩₩₩₩-&quot;#,##0.00"/>
    <numFmt numFmtId="169" formatCode="\₩#,##0;[RED]&quot;₩₩-&quot;#,##0"/>
    <numFmt numFmtId="170" formatCode="\₩#,##0.00;[RED]&quot;₩₩₩₩₩₩-&quot;#,##0.00"/>
    <numFmt numFmtId="171" formatCode="_(* #,##0_);_(* \(#,##0\);_(* \-_);_(@_)"/>
    <numFmt numFmtId="172" formatCode="_-* #,##0_-;\-* #,##0_-;_-* \-_-;_-@_-"/>
    <numFmt numFmtId="173" formatCode="mm&quot;월 &quot;dd\일"/>
    <numFmt numFmtId="174" formatCode="#,##0_);[RED]\(#,##0\)"/>
    <numFmt numFmtId="175" formatCode="#,##0"/>
    <numFmt numFmtId="176" formatCode="@"/>
    <numFmt numFmtId="177" formatCode="_(\$* #,##0_);_(\$* \(#,##0\);_(\$* \-_);_(@_)"/>
    <numFmt numFmtId="178" formatCode="_-\₩* #,##0_-;&quot;-₩&quot;* #,##0_-;_-\₩* \-_-;_-@_-"/>
    <numFmt numFmtId="179" formatCode="\₩#,##0_);&quot;(₩&quot;#,##0\)"/>
  </numFmts>
  <fonts count="29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¹UAAA¼"/>
      <family val="3"/>
      <charset val="1"/>
    </font>
    <font>
      <sz val="10"/>
      <name val="Arial"/>
      <family val="2"/>
      <charset val="1"/>
    </font>
    <font>
      <sz val="12"/>
      <name val="뼻뮝"/>
      <family val="1"/>
      <charset val="129"/>
    </font>
    <font>
      <sz val="11"/>
      <name val="굴림"/>
      <family val="3"/>
      <charset val="129"/>
    </font>
    <font>
      <b val="true"/>
      <u val="single"/>
      <sz val="36"/>
      <name val="WenQuanYi Zen Hei"/>
      <family val="2"/>
    </font>
    <font>
      <b val="true"/>
      <sz val="11"/>
      <name val="굴림"/>
      <family val="3"/>
      <charset val="129"/>
    </font>
    <font>
      <b val="true"/>
      <u val="single"/>
      <sz val="14"/>
      <name val="WenQuanYi Zen Hei"/>
      <family val="2"/>
    </font>
    <font>
      <b val="true"/>
      <sz val="12"/>
      <name val="굴림"/>
      <family val="3"/>
      <charset val="129"/>
    </font>
    <font>
      <b val="true"/>
      <sz val="12"/>
      <name val="WenQuanYi Zen Hei"/>
      <family val="2"/>
    </font>
    <font>
      <b val="true"/>
      <sz val="14"/>
      <name val="WenQuanYi Zen Hei"/>
      <family val="2"/>
    </font>
    <font>
      <b val="true"/>
      <sz val="14"/>
      <name val="굴림"/>
      <family val="3"/>
      <charset val="129"/>
    </font>
    <font>
      <u val="single"/>
      <sz val="11"/>
      <color rgb="FF0000FF"/>
      <name val="돋움"/>
      <family val="3"/>
      <charset val="129"/>
    </font>
    <font>
      <b val="true"/>
      <u val="single"/>
      <sz val="11"/>
      <color rgb="FF0000FF"/>
      <name val="돋움"/>
      <family val="3"/>
      <charset val="129"/>
    </font>
    <font>
      <sz val="10"/>
      <name val="굴림"/>
      <family val="3"/>
      <charset val="129"/>
    </font>
    <font>
      <b val="true"/>
      <sz val="10"/>
      <name val="굴림"/>
      <family val="3"/>
      <charset val="129"/>
    </font>
    <font>
      <b val="true"/>
      <sz val="9"/>
      <name val="굴림"/>
      <family val="3"/>
      <charset val="129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 val="true"/>
      <sz val="9"/>
      <name val="WenQuanYi Zen Hei"/>
      <family val="2"/>
    </font>
    <font>
      <b val="true"/>
      <sz val="11"/>
      <color rgb="FF000000"/>
      <name val="WenQuanYi Zen Hei"/>
      <family val="2"/>
    </font>
    <font>
      <b val="true"/>
      <sz val="11"/>
      <color rgb="FF000000"/>
      <name val="굴림"/>
      <family val="3"/>
      <charset val="129"/>
    </font>
    <font>
      <b val="true"/>
      <sz val="11"/>
      <name val="WenQuanYi Zen Hei"/>
      <family val="2"/>
    </font>
    <font>
      <b val="true"/>
      <sz val="11"/>
      <name val="돋움"/>
      <family val="3"/>
      <charset val="129"/>
    </font>
    <font>
      <sz val="9"/>
      <name val="굴림"/>
      <family val="3"/>
      <charset val="129"/>
    </font>
    <font>
      <sz val="11"/>
      <name val="WenQuanYi Zen He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4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3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36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11" fillId="0" borderId="0" xfId="3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1" fillId="0" borderId="0" xfId="3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3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36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3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2" xfId="3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3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3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2" fillId="0" borderId="2" xfId="3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2" fontId="12" fillId="0" borderId="2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3" xfId="3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3" xfId="35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3" xfId="3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7" fillId="0" borderId="3" xfId="38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17" fillId="2" borderId="3" xfId="38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0" xfId="3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7" fillId="0" borderId="3" xfId="3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3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3" xfId="3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3" xfId="3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19" fillId="0" borderId="3" xfId="3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2" fillId="2" borderId="3" xfId="3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3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34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2" fontId="25" fillId="0" borderId="4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8" fillId="0" borderId="4" xfId="38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36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3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3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8" fillId="0" borderId="3" xfId="36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0" xfId="3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25" fillId="0" borderId="2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8" fillId="0" borderId="2" xfId="3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28" fillId="0" borderId="5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3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" fillId="0" borderId="0" xfId="3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eE­ [0]_INQUIRY ¿μ¾÷AßAø " xfId="21"/>
    <cellStyle name="AeE­_INQUIRY ¿μ¾÷AßAø " xfId="22"/>
    <cellStyle name="AÞ¸¶ [0]_INQUIRY ¿μ¾÷AßAø " xfId="23"/>
    <cellStyle name="AÞ¸¶_INQUIRY ¿μ¾÷AßAø " xfId="24"/>
    <cellStyle name="Comma [0]_ SG&amp;A Bridge " xfId="25"/>
    <cellStyle name="Comma_ SG&amp;A Bridge " xfId="26"/>
    <cellStyle name="Currency [0]_ SG&amp;A Bridge " xfId="27"/>
    <cellStyle name="Currency_ SG&amp;A Bridge " xfId="28"/>
    <cellStyle name="C￥AØ_¿μ¾÷CoE² " xfId="29"/>
    <cellStyle name="Normal_ SG&amp;A Bridge " xfId="30"/>
    <cellStyle name="뷭?_BOOKSHIP" xfId="31"/>
    <cellStyle name="콤마 [0]_1202" xfId="32"/>
    <cellStyle name="콤마_1202" xfId="33"/>
    <cellStyle name="표준_견적서_양식_2_견적서양식(2005년)-원본" xfId="34"/>
    <cellStyle name="표준_견적서_양식_2_네오메디칼" xfId="35"/>
    <cellStyle name="표준_견적서양식(2005년)-원본" xfId="36"/>
    <cellStyle name="표준_소모품 리스트-BRAN+BLTEC" xfId="37"/>
    <cellStyle name="Excel Built-in Comma [0]" xfId="38"/>
    <cellStyle name="*unknown*" xfId="20" builtinId="8"/>
    <cellStyle name="Excel Built-in Currency [0]" xfId="3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png"/><Relationship Id="rId7" Type="http://schemas.openxmlformats.org/officeDocument/2006/relationships/image" Target="../media/image2.jpeg"/><Relationship Id="rId8" Type="http://schemas.openxmlformats.org/officeDocument/2006/relationships/image" Target="../media/image7.jpeg"/><Relationship Id="rId9" Type="http://schemas.openxmlformats.org/officeDocument/2006/relationships/image" Target="../media/image8.png"/><Relationship Id="rId10" Type="http://schemas.openxmlformats.org/officeDocument/2006/relationships/image" Target="../media/image9.png"/><Relationship Id="rId11" Type="http://schemas.openxmlformats.org/officeDocument/2006/relationships/image" Target="../media/image10.png"/><Relationship Id="rId12" Type="http://schemas.openxmlformats.org/officeDocument/2006/relationships/image" Target="../media/image11.jpeg"/><Relationship Id="rId13" Type="http://schemas.openxmlformats.org/officeDocument/2006/relationships/image" Target="../media/image12.png"/><Relationship Id="rId14" Type="http://schemas.openxmlformats.org/officeDocument/2006/relationships/image" Target="../media/image13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38160</xdr:colOff>
      <xdr:row>0</xdr:row>
      <xdr:rowOff>19080</xdr:rowOff>
    </xdr:from>
    <xdr:to>
      <xdr:col>2</xdr:col>
      <xdr:colOff>1044360</xdr:colOff>
      <xdr:row>0</xdr:row>
      <xdr:rowOff>323640</xdr:rowOff>
    </xdr:to>
    <xdr:pic>
      <xdr:nvPicPr>
        <xdr:cNvPr id="0" name="Picture 1" descr="무진과학로고최종수정1"/>
        <xdr:cNvPicPr/>
      </xdr:nvPicPr>
      <xdr:blipFill>
        <a:blip r:embed="rId1"/>
        <a:stretch/>
      </xdr:blipFill>
      <xdr:spPr>
        <a:xfrm>
          <a:off x="38160" y="19080"/>
          <a:ext cx="1466640" cy="3045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</xdr:col>
      <xdr:colOff>3305160</xdr:colOff>
      <xdr:row>30</xdr:row>
      <xdr:rowOff>200160</xdr:rowOff>
    </xdr:from>
    <xdr:to>
      <xdr:col>5</xdr:col>
      <xdr:colOff>240840</xdr:colOff>
      <xdr:row>33</xdr:row>
      <xdr:rowOff>85320</xdr:rowOff>
    </xdr:to>
    <xdr:pic>
      <xdr:nvPicPr>
        <xdr:cNvPr id="1" name="Picture 3" descr="영린"/>
        <xdr:cNvPicPr/>
      </xdr:nvPicPr>
      <xdr:blipFill>
        <a:blip r:embed="rId2"/>
        <a:stretch/>
      </xdr:blipFill>
      <xdr:spPr>
        <a:xfrm>
          <a:off x="3765600" y="11801520"/>
          <a:ext cx="1895040" cy="4950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</xdr:col>
      <xdr:colOff>200160</xdr:colOff>
      <xdr:row>25</xdr:row>
      <xdr:rowOff>104760</xdr:rowOff>
    </xdr:from>
    <xdr:to>
      <xdr:col>2</xdr:col>
      <xdr:colOff>1462680</xdr:colOff>
      <xdr:row>25</xdr:row>
      <xdr:rowOff>105120</xdr:rowOff>
    </xdr:to>
    <xdr:pic>
      <xdr:nvPicPr>
        <xdr:cNvPr id="2" name="Picture 4" descr="EMB00000d400001"/>
        <xdr:cNvPicPr/>
      </xdr:nvPicPr>
      <xdr:blipFill>
        <a:blip r:embed="rId3"/>
        <a:stretch/>
      </xdr:blipFill>
      <xdr:spPr>
        <a:xfrm>
          <a:off x="360360" y="10105920"/>
          <a:ext cx="15627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</xdr:col>
      <xdr:colOff>3124080</xdr:colOff>
      <xdr:row>23</xdr:row>
      <xdr:rowOff>219240</xdr:rowOff>
    </xdr:from>
    <xdr:to>
      <xdr:col>4</xdr:col>
      <xdr:colOff>175320</xdr:colOff>
      <xdr:row>25</xdr:row>
      <xdr:rowOff>75960</xdr:rowOff>
    </xdr:to>
    <xdr:pic>
      <xdr:nvPicPr>
        <xdr:cNvPr id="3" name="Picture 5" descr="TEC-LOGO"/>
        <xdr:cNvPicPr/>
      </xdr:nvPicPr>
      <xdr:blipFill>
        <a:blip r:embed="rId4"/>
        <a:stretch/>
      </xdr:blipFill>
      <xdr:spPr>
        <a:xfrm>
          <a:off x="3584520" y="9153720"/>
          <a:ext cx="1599840" cy="9234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</xdr:col>
      <xdr:colOff>2647800</xdr:colOff>
      <xdr:row>23</xdr:row>
      <xdr:rowOff>76320</xdr:rowOff>
    </xdr:from>
    <xdr:to>
      <xdr:col>3</xdr:col>
      <xdr:colOff>869040</xdr:colOff>
      <xdr:row>23</xdr:row>
      <xdr:rowOff>76680</xdr:rowOff>
    </xdr:to>
    <xdr:pic>
      <xdr:nvPicPr>
        <xdr:cNvPr id="4" name="Picture 6" descr="home"/>
        <xdr:cNvPicPr/>
      </xdr:nvPicPr>
      <xdr:blipFill>
        <a:blip r:embed="rId5"/>
        <a:stretch/>
      </xdr:blipFill>
      <xdr:spPr>
        <a:xfrm>
          <a:off x="3108240" y="9010800"/>
          <a:ext cx="164772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</xdr:col>
      <xdr:colOff>1428840</xdr:colOff>
      <xdr:row>23</xdr:row>
      <xdr:rowOff>28440</xdr:rowOff>
    </xdr:from>
    <xdr:to>
      <xdr:col>2</xdr:col>
      <xdr:colOff>2178720</xdr:colOff>
      <xdr:row>23</xdr:row>
      <xdr:rowOff>28800</xdr:rowOff>
    </xdr:to>
    <xdr:pic>
      <xdr:nvPicPr>
        <xdr:cNvPr id="5" name="Picture 7" descr="Waters Corporation-Laboratory solutions for HPLC, chromatography, mass spectrometry, and laboratory informatics"/>
        <xdr:cNvPicPr/>
      </xdr:nvPicPr>
      <xdr:blipFill>
        <a:blip r:embed="rId6"/>
        <a:stretch/>
      </xdr:blipFill>
      <xdr:spPr>
        <a:xfrm>
          <a:off x="1889280" y="8962920"/>
          <a:ext cx="74988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476280</xdr:colOff>
      <xdr:row>25</xdr:row>
      <xdr:rowOff>95400</xdr:rowOff>
    </xdr:from>
    <xdr:to>
      <xdr:col>5</xdr:col>
      <xdr:colOff>28080</xdr:colOff>
      <xdr:row>27</xdr:row>
      <xdr:rowOff>56880</xdr:rowOff>
    </xdr:to>
    <xdr:pic>
      <xdr:nvPicPr>
        <xdr:cNvPr id="6" name="Picture 8" descr="영린"/>
        <xdr:cNvPicPr/>
      </xdr:nvPicPr>
      <xdr:blipFill>
        <a:blip r:embed="rId7"/>
        <a:stretch/>
      </xdr:blipFill>
      <xdr:spPr>
        <a:xfrm>
          <a:off x="4363200" y="10096560"/>
          <a:ext cx="1084680" cy="7617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4</xdr:col>
      <xdr:colOff>324000</xdr:colOff>
      <xdr:row>23</xdr:row>
      <xdr:rowOff>76320</xdr:rowOff>
    </xdr:from>
    <xdr:to>
      <xdr:col>6</xdr:col>
      <xdr:colOff>733320</xdr:colOff>
      <xdr:row>25</xdr:row>
      <xdr:rowOff>9360</xdr:rowOff>
    </xdr:to>
    <xdr:pic>
      <xdr:nvPicPr>
        <xdr:cNvPr id="7" name="Picture 9" descr="TEC-LOGO"/>
        <xdr:cNvPicPr/>
      </xdr:nvPicPr>
      <xdr:blipFill>
        <a:blip r:embed="rId8"/>
        <a:stretch/>
      </xdr:blipFill>
      <xdr:spPr>
        <a:xfrm>
          <a:off x="5333040" y="9010800"/>
          <a:ext cx="1230840" cy="9997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</xdr:col>
      <xdr:colOff>1704960</xdr:colOff>
      <xdr:row>25</xdr:row>
      <xdr:rowOff>95400</xdr:rowOff>
    </xdr:from>
    <xdr:to>
      <xdr:col>2</xdr:col>
      <xdr:colOff>2802600</xdr:colOff>
      <xdr:row>25</xdr:row>
      <xdr:rowOff>95760</xdr:rowOff>
    </xdr:to>
    <xdr:pic>
      <xdr:nvPicPr>
        <xdr:cNvPr id="8" name="Picture 11" descr="1"/>
        <xdr:cNvPicPr/>
      </xdr:nvPicPr>
      <xdr:blipFill>
        <a:blip r:embed="rId9"/>
        <a:stretch/>
      </xdr:blipFill>
      <xdr:spPr>
        <a:xfrm>
          <a:off x="2165400" y="10096560"/>
          <a:ext cx="109764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5</xdr:col>
      <xdr:colOff>19080</xdr:colOff>
      <xdr:row>25</xdr:row>
      <xdr:rowOff>104760</xdr:rowOff>
    </xdr:from>
    <xdr:to>
      <xdr:col>6</xdr:col>
      <xdr:colOff>823680</xdr:colOff>
      <xdr:row>25</xdr:row>
      <xdr:rowOff>105120</xdr:rowOff>
    </xdr:to>
    <xdr:pic>
      <xdr:nvPicPr>
        <xdr:cNvPr id="9" name="그림 72" descr="n_img2.gif"/>
        <xdr:cNvPicPr/>
      </xdr:nvPicPr>
      <xdr:blipFill>
        <a:blip r:embed="rId10"/>
        <a:stretch/>
      </xdr:blipFill>
      <xdr:spPr>
        <a:xfrm>
          <a:off x="5438880" y="10105920"/>
          <a:ext cx="121536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</xdr:col>
      <xdr:colOff>38160</xdr:colOff>
      <xdr:row>23</xdr:row>
      <xdr:rowOff>47520</xdr:rowOff>
    </xdr:from>
    <xdr:to>
      <xdr:col>2</xdr:col>
      <xdr:colOff>1243080</xdr:colOff>
      <xdr:row>23</xdr:row>
      <xdr:rowOff>47880</xdr:rowOff>
    </xdr:to>
    <xdr:pic>
      <xdr:nvPicPr>
        <xdr:cNvPr id="10" name="그림 73" descr="n_img4.gif"/>
        <xdr:cNvPicPr/>
      </xdr:nvPicPr>
      <xdr:blipFill>
        <a:blip r:embed="rId11"/>
        <a:stretch/>
      </xdr:blipFill>
      <xdr:spPr>
        <a:xfrm>
          <a:off x="498600" y="8982000"/>
          <a:ext cx="120492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6</xdr:col>
      <xdr:colOff>942840</xdr:colOff>
      <xdr:row>23</xdr:row>
      <xdr:rowOff>47520</xdr:rowOff>
    </xdr:from>
    <xdr:to>
      <xdr:col>7</xdr:col>
      <xdr:colOff>869760</xdr:colOff>
      <xdr:row>23</xdr:row>
      <xdr:rowOff>47880</xdr:rowOff>
    </xdr:to>
    <xdr:pic>
      <xdr:nvPicPr>
        <xdr:cNvPr id="11" name="그림 74" descr="오디랩.jpg"/>
        <xdr:cNvPicPr/>
      </xdr:nvPicPr>
      <xdr:blipFill>
        <a:blip r:embed="rId12"/>
        <a:stretch/>
      </xdr:blipFill>
      <xdr:spPr>
        <a:xfrm>
          <a:off x="6773400" y="8982000"/>
          <a:ext cx="94860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6</xdr:col>
      <xdr:colOff>847800</xdr:colOff>
      <xdr:row>25</xdr:row>
      <xdr:rowOff>66600</xdr:rowOff>
    </xdr:from>
    <xdr:to>
      <xdr:col>7</xdr:col>
      <xdr:colOff>842040</xdr:colOff>
      <xdr:row>25</xdr:row>
      <xdr:rowOff>66960</xdr:rowOff>
    </xdr:to>
    <xdr:pic>
      <xdr:nvPicPr>
        <xdr:cNvPr id="12" name="그림 75" descr="main_14.gif"/>
        <xdr:cNvPicPr/>
      </xdr:nvPicPr>
      <xdr:blipFill>
        <a:blip r:embed="rId13"/>
        <a:stretch/>
      </xdr:blipFill>
      <xdr:spPr>
        <a:xfrm>
          <a:off x="6678360" y="10067760"/>
          <a:ext cx="101592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123840</xdr:colOff>
      <xdr:row>1</xdr:row>
      <xdr:rowOff>95400</xdr:rowOff>
    </xdr:from>
    <xdr:to>
      <xdr:col>7</xdr:col>
      <xdr:colOff>769320</xdr:colOff>
      <xdr:row>4</xdr:row>
      <xdr:rowOff>114480</xdr:rowOff>
    </xdr:to>
    <xdr:pic>
      <xdr:nvPicPr>
        <xdr:cNvPr id="13" name="그림 76" descr="도장2.jpg"/>
        <xdr:cNvPicPr/>
      </xdr:nvPicPr>
      <xdr:blipFill>
        <a:blip r:embed="rId14"/>
        <a:stretch/>
      </xdr:blipFill>
      <xdr:spPr>
        <a:xfrm>
          <a:off x="6976080" y="685800"/>
          <a:ext cx="645480" cy="581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i-moojinsci.co.kr/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890625" defaultRowHeight="13.5" zeroHeight="false" outlineLevelRow="0" outlineLevelCol="0"/>
  <cols>
    <col collapsed="false" customWidth="true" hidden="false" outlineLevel="0" max="1" min="1" style="1" width="1.78"/>
    <col collapsed="false" customWidth="true" hidden="false" outlineLevel="0" max="2" min="2" style="1" width="3.33"/>
    <col collapsed="false" customWidth="true" hidden="false" outlineLevel="0" max="3" min="3" style="1" width="38"/>
    <col collapsed="false" customWidth="true" hidden="false" outlineLevel="0" max="4" min="4" style="1" width="12.44"/>
    <col collapsed="false" customWidth="true" hidden="false" outlineLevel="0" max="6" min="5" style="1" width="4.56"/>
    <col collapsed="false" customWidth="true" hidden="false" outlineLevel="0" max="7" min="7" style="2" width="11.33"/>
    <col collapsed="false" customWidth="true" hidden="false" outlineLevel="0" max="8" min="8" style="1" width="11.77"/>
    <col collapsed="false" customWidth="false" hidden="false" outlineLevel="0" max="16384" min="9" style="1" width="8.89"/>
  </cols>
  <sheetData>
    <row r="1" customFormat="false" ht="46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3.5" hidden="false" customHeight="false" outlineLevel="0" collapsed="false">
      <c r="C2" s="4"/>
    </row>
    <row r="4" customFormat="false" ht="17.25" hidden="false" customHeight="true" outlineLevel="0" collapsed="false">
      <c r="C4" s="5" t="s">
        <v>1</v>
      </c>
    </row>
    <row r="5" customFormat="false" ht="17.25" hidden="false" customHeight="true" outlineLevel="0" collapsed="false">
      <c r="C5" s="5"/>
    </row>
    <row r="6" customFormat="false" ht="17.25" hidden="false" customHeight="true" outlineLevel="0" collapsed="false">
      <c r="C6" s="6"/>
    </row>
    <row r="7" customFormat="false" ht="17.25" hidden="false" customHeight="true" outlineLevel="0" collapsed="false">
      <c r="C7" s="7" t="s">
        <v>2</v>
      </c>
    </row>
    <row r="8" customFormat="false" ht="17.25" hidden="false" customHeight="true" outlineLevel="0" collapsed="false">
      <c r="C8" s="8"/>
    </row>
    <row r="9" customFormat="false" ht="17.25" hidden="false" customHeight="true" outlineLevel="0" collapsed="false">
      <c r="C9" s="9" t="s">
        <v>3</v>
      </c>
    </row>
    <row r="10" customFormat="false" ht="17.25" hidden="false" customHeight="true" outlineLevel="0" collapsed="false">
      <c r="C10" s="9"/>
    </row>
    <row r="11" customFormat="false" ht="18.75" hidden="false" customHeight="true" outlineLevel="0" collapsed="false">
      <c r="C11" s="10"/>
      <c r="D11" s="11" t="s">
        <v>4</v>
      </c>
      <c r="E11" s="11"/>
      <c r="F11" s="11"/>
      <c r="G11" s="11"/>
      <c r="H11" s="11"/>
    </row>
    <row r="12" s="12" customFormat="true" ht="28.5" hidden="false" customHeight="true" outlineLevel="0" collapsed="false">
      <c r="B12" s="13" t="s">
        <v>5</v>
      </c>
      <c r="C12" s="14" t="s">
        <v>6</v>
      </c>
      <c r="D12" s="15" t="s">
        <v>7</v>
      </c>
      <c r="E12" s="16" t="s">
        <v>8</v>
      </c>
      <c r="F12" s="14" t="s">
        <v>9</v>
      </c>
      <c r="G12" s="17" t="s">
        <v>10</v>
      </c>
      <c r="H12" s="14" t="s">
        <v>11</v>
      </c>
    </row>
    <row r="13" s="18" customFormat="true" ht="42" hidden="false" customHeight="true" outlineLevel="0" collapsed="false">
      <c r="B13" s="19" t="n">
        <v>1</v>
      </c>
      <c r="C13" s="20" t="s">
        <v>12</v>
      </c>
      <c r="D13" s="21" t="s">
        <v>13</v>
      </c>
      <c r="E13" s="22" t="s">
        <v>14</v>
      </c>
      <c r="F13" s="23" t="n">
        <v>1</v>
      </c>
      <c r="G13" s="24" t="n">
        <v>2087890</v>
      </c>
      <c r="H13" s="25" t="n">
        <f aca="false">G13*F13</f>
        <v>2087890</v>
      </c>
      <c r="J13" s="26"/>
    </row>
    <row r="14" s="18" customFormat="true" ht="42" hidden="false" customHeight="true" outlineLevel="0" collapsed="false">
      <c r="B14" s="19" t="n">
        <v>2</v>
      </c>
      <c r="C14" s="20" t="s">
        <v>15</v>
      </c>
      <c r="D14" s="27" t="s">
        <v>16</v>
      </c>
      <c r="E14" s="22" t="s">
        <v>14</v>
      </c>
      <c r="F14" s="23" t="n">
        <v>1</v>
      </c>
      <c r="G14" s="24" t="n">
        <v>30450</v>
      </c>
      <c r="H14" s="25" t="n">
        <f aca="false">G14*F14</f>
        <v>30450</v>
      </c>
      <c r="J14" s="26"/>
    </row>
    <row r="15" s="18" customFormat="true" ht="42" hidden="false" customHeight="true" outlineLevel="0" collapsed="false">
      <c r="B15" s="19" t="n">
        <v>3</v>
      </c>
      <c r="C15" s="20" t="s">
        <v>17</v>
      </c>
      <c r="D15" s="21" t="s">
        <v>18</v>
      </c>
      <c r="E15" s="22" t="s">
        <v>14</v>
      </c>
      <c r="F15" s="28" t="n">
        <v>1</v>
      </c>
      <c r="G15" s="24" t="n">
        <v>25500</v>
      </c>
      <c r="H15" s="25" t="n">
        <f aca="false">G15*F15</f>
        <v>25500</v>
      </c>
      <c r="J15" s="26"/>
    </row>
    <row r="16" s="18" customFormat="true" ht="42" hidden="false" customHeight="true" outlineLevel="0" collapsed="false">
      <c r="B16" s="19"/>
      <c r="C16" s="20"/>
      <c r="D16" s="21"/>
      <c r="E16" s="22"/>
      <c r="F16" s="28"/>
      <c r="G16" s="24"/>
      <c r="H16" s="25"/>
      <c r="J16" s="26"/>
    </row>
    <row r="17" s="18" customFormat="true" ht="42" hidden="false" customHeight="true" outlineLevel="0" collapsed="false">
      <c r="B17" s="29"/>
      <c r="C17" s="30"/>
      <c r="D17" s="31"/>
      <c r="E17" s="32"/>
      <c r="F17" s="32"/>
      <c r="G17" s="33"/>
      <c r="H17" s="34" t="s">
        <v>19</v>
      </c>
    </row>
    <row r="18" s="18" customFormat="true" ht="42" hidden="false" customHeight="true" outlineLevel="0" collapsed="false">
      <c r="B18" s="35"/>
      <c r="C18" s="36" t="s">
        <v>20</v>
      </c>
      <c r="D18" s="37"/>
      <c r="E18" s="37"/>
      <c r="F18" s="37"/>
      <c r="G18" s="38" t="s">
        <v>21</v>
      </c>
      <c r="H18" s="39" t="n">
        <f aca="false">SUM(H13:H17)</f>
        <v>2143840</v>
      </c>
      <c r="I18" s="40"/>
      <c r="J18" s="40"/>
    </row>
    <row r="19" s="18" customFormat="true" ht="42" hidden="false" customHeight="true" outlineLevel="0" collapsed="false">
      <c r="B19" s="12"/>
      <c r="C19" s="41" t="s">
        <v>22</v>
      </c>
      <c r="D19" s="42"/>
      <c r="E19" s="42"/>
      <c r="F19" s="42"/>
      <c r="G19" s="43" t="s">
        <v>23</v>
      </c>
      <c r="H19" s="44" t="n">
        <f aca="false">H18/10</f>
        <v>214384</v>
      </c>
      <c r="I19" s="40"/>
      <c r="J19" s="40"/>
    </row>
    <row r="20" s="18" customFormat="true" ht="42" hidden="false" customHeight="true" outlineLevel="0" collapsed="false">
      <c r="B20" s="1"/>
      <c r="C20" s="41" t="s">
        <v>24</v>
      </c>
      <c r="D20" s="45"/>
      <c r="E20" s="42"/>
      <c r="F20" s="45"/>
      <c r="G20" s="46" t="s">
        <v>25</v>
      </c>
      <c r="H20" s="47" t="n">
        <f aca="false">SUM(H18:H19)</f>
        <v>2358224</v>
      </c>
      <c r="I20" s="40"/>
      <c r="J20" s="40"/>
    </row>
    <row r="21" s="18" customFormat="true" ht="42" hidden="false" customHeight="true" outlineLevel="0" collapsed="false">
      <c r="B21" s="1"/>
      <c r="C21" s="41" t="s">
        <v>26</v>
      </c>
      <c r="D21" s="4"/>
      <c r="E21" s="42"/>
      <c r="F21" s="1"/>
      <c r="G21" s="48" t="s">
        <v>27</v>
      </c>
      <c r="H21" s="49" t="s">
        <v>28</v>
      </c>
      <c r="I21" s="50"/>
      <c r="J21" s="50"/>
    </row>
    <row r="22" s="18" customFormat="true" ht="42" hidden="false" customHeight="true" outlineLevel="0" collapsed="false">
      <c r="B22" s="1"/>
      <c r="C22" s="4"/>
      <c r="D22" s="4"/>
      <c r="E22" s="42"/>
      <c r="F22" s="1"/>
      <c r="G22" s="48"/>
      <c r="H22" s="49"/>
      <c r="I22" s="50"/>
      <c r="J22" s="50"/>
    </row>
    <row r="23" s="18" customFormat="true" ht="42" hidden="false" customHeight="true" outlineLevel="0" collapsed="false">
      <c r="B23" s="1"/>
      <c r="C23" s="41" t="s">
        <v>29</v>
      </c>
      <c r="D23" s="1"/>
      <c r="E23" s="42"/>
      <c r="F23" s="1"/>
      <c r="G23" s="2"/>
      <c r="H23" s="1"/>
      <c r="I23" s="50"/>
      <c r="J23" s="50"/>
    </row>
    <row r="24" s="18" customFormat="true" ht="42" hidden="false" customHeight="true" outlineLevel="0" collapsed="false">
      <c r="B24" s="51" t="s">
        <v>30</v>
      </c>
      <c r="C24" s="51"/>
      <c r="D24" s="51"/>
      <c r="E24" s="51"/>
      <c r="F24" s="51"/>
      <c r="G24" s="51"/>
      <c r="H24" s="51"/>
      <c r="I24" s="50"/>
      <c r="J24" s="50"/>
    </row>
    <row r="25" s="18" customFormat="true" ht="42" hidden="false" customHeight="true" outlineLevel="0" collapsed="false">
      <c r="B25" s="51"/>
      <c r="C25" s="51"/>
      <c r="D25" s="51"/>
      <c r="E25" s="51"/>
      <c r="F25" s="51"/>
      <c r="G25" s="51"/>
      <c r="H25" s="51"/>
      <c r="I25" s="50"/>
      <c r="J25" s="50"/>
    </row>
    <row r="26" s="18" customFormat="true" ht="42" hidden="false" customHeight="true" outlineLevel="0" collapsed="false">
      <c r="B26" s="51"/>
      <c r="C26" s="51"/>
      <c r="D26" s="51"/>
      <c r="E26" s="51"/>
      <c r="F26" s="51"/>
      <c r="G26" s="51"/>
      <c r="H26" s="51"/>
      <c r="I26" s="50"/>
      <c r="J26" s="50"/>
    </row>
    <row r="27" s="40" customFormat="true" ht="21" hidden="false" customHeight="true" outlineLevel="0" collapsed="false">
      <c r="B27" s="51"/>
      <c r="C27" s="51"/>
      <c r="D27" s="51"/>
      <c r="E27" s="51"/>
      <c r="F27" s="51"/>
      <c r="G27" s="51"/>
      <c r="H27" s="51"/>
      <c r="I27" s="50"/>
      <c r="J27" s="50"/>
    </row>
    <row r="28" s="40" customFormat="true" ht="21" hidden="false" customHeight="true" outlineLevel="0" collapsed="false">
      <c r="B28" s="51"/>
      <c r="C28" s="51"/>
      <c r="D28" s="51"/>
      <c r="E28" s="51"/>
      <c r="F28" s="51"/>
      <c r="G28" s="51"/>
      <c r="H28" s="51"/>
      <c r="I28" s="50"/>
      <c r="J28" s="50"/>
    </row>
    <row r="29" s="40" customFormat="true" ht="21" hidden="false" customHeight="true" outlineLevel="0" collapsed="false">
      <c r="B29" s="51"/>
      <c r="C29" s="51"/>
      <c r="D29" s="51"/>
      <c r="E29" s="51"/>
      <c r="F29" s="51"/>
      <c r="G29" s="51"/>
      <c r="H29" s="51"/>
      <c r="I29" s="50"/>
      <c r="J29" s="50"/>
    </row>
    <row r="30" s="50" customFormat="true" ht="21" hidden="false" customHeight="true" outlineLevel="0" collapsed="false">
      <c r="A30" s="1"/>
      <c r="B30" s="1"/>
      <c r="C30" s="52"/>
      <c r="D30" s="1"/>
      <c r="E30" s="1"/>
      <c r="F30" s="1"/>
      <c r="G30" s="2"/>
      <c r="H30" s="1"/>
    </row>
    <row r="31" s="50" customFormat="true" ht="21" hidden="false" customHeight="true" outlineLevel="0" collapsed="false">
      <c r="A31" s="1"/>
      <c r="B31" s="1"/>
      <c r="C31" s="52"/>
      <c r="D31" s="1"/>
      <c r="E31" s="1"/>
      <c r="F31" s="1"/>
      <c r="G31" s="2"/>
      <c r="H31" s="1"/>
    </row>
    <row r="32" s="50" customFormat="true" ht="16.5" hidden="false" customHeight="true" outlineLevel="0" collapsed="false">
      <c r="A32" s="1"/>
      <c r="B32" s="1"/>
      <c r="C32" s="52"/>
      <c r="D32" s="1"/>
      <c r="E32" s="1"/>
      <c r="F32" s="1"/>
      <c r="G32" s="2"/>
      <c r="H32" s="1"/>
    </row>
    <row r="33" s="50" customFormat="true" ht="10.5" hidden="false" customHeight="true" outlineLevel="0" collapsed="false">
      <c r="A33" s="1"/>
      <c r="B33" s="1"/>
      <c r="C33" s="52"/>
      <c r="D33" s="1"/>
      <c r="E33" s="1"/>
      <c r="F33" s="1"/>
      <c r="G33" s="2"/>
      <c r="H33" s="1"/>
    </row>
    <row r="34" s="50" customFormat="true" ht="10.5" hidden="false" customHeight="true" outlineLevel="0" collapsed="false">
      <c r="A34" s="1"/>
      <c r="B34" s="1"/>
      <c r="C34" s="1"/>
      <c r="D34" s="1"/>
      <c r="E34" s="1"/>
      <c r="F34" s="1"/>
      <c r="G34" s="2"/>
      <c r="H34" s="1"/>
      <c r="I34" s="1"/>
      <c r="J34" s="1"/>
    </row>
    <row r="35" s="50" customFormat="true" ht="10.5" hidden="false" customHeight="true" outlineLevel="0" collapsed="false">
      <c r="A35" s="1"/>
      <c r="B35" s="1"/>
      <c r="C35" s="1"/>
      <c r="D35" s="1"/>
      <c r="E35" s="1"/>
      <c r="F35" s="1"/>
      <c r="G35" s="2"/>
      <c r="H35" s="1"/>
      <c r="I35" s="1"/>
      <c r="J35" s="1"/>
    </row>
    <row r="36" s="50" customFormat="true" ht="10.5" hidden="false" customHeight="true" outlineLevel="0" collapsed="false">
      <c r="A36" s="1"/>
      <c r="B36" s="1"/>
      <c r="C36" s="1"/>
      <c r="D36" s="1"/>
      <c r="E36" s="1"/>
      <c r="F36" s="1"/>
      <c r="G36" s="2"/>
      <c r="H36" s="1"/>
      <c r="I36" s="1"/>
      <c r="J36" s="1"/>
    </row>
    <row r="37" s="50" customFormat="true" ht="10.5" hidden="false" customHeight="true" outlineLevel="0" collapsed="false">
      <c r="A37" s="1"/>
      <c r="B37" s="1"/>
      <c r="C37" s="1"/>
      <c r="D37" s="1"/>
      <c r="E37" s="1"/>
      <c r="F37" s="1"/>
      <c r="G37" s="2"/>
      <c r="H37" s="1"/>
      <c r="I37" s="1"/>
      <c r="J37" s="1"/>
    </row>
    <row r="38" s="50" customFormat="true" ht="10.5" hidden="false" customHeight="true" outlineLevel="0" collapsed="false">
      <c r="A38" s="1"/>
      <c r="B38" s="1"/>
      <c r="C38" s="1"/>
      <c r="D38" s="1"/>
      <c r="E38" s="1"/>
      <c r="F38" s="1"/>
      <c r="G38" s="2"/>
      <c r="H38" s="1"/>
      <c r="I38" s="1"/>
      <c r="J38" s="1"/>
    </row>
    <row r="39" s="50" customFormat="true" ht="13.5" hidden="false" customHeight="false" outlineLevel="0" collapsed="false">
      <c r="A39" s="1"/>
      <c r="B39" s="1"/>
      <c r="C39" s="1"/>
      <c r="D39" s="1"/>
      <c r="E39" s="1"/>
      <c r="F39" s="1"/>
      <c r="G39" s="2"/>
      <c r="H39" s="1"/>
      <c r="I39" s="1"/>
      <c r="J39" s="1"/>
    </row>
    <row r="40" s="50" customFormat="true" ht="13.5" hidden="false" customHeight="false" outlineLevel="0" collapsed="false">
      <c r="A40" s="1"/>
      <c r="B40" s="1"/>
      <c r="C40" s="1"/>
      <c r="D40" s="1"/>
      <c r="E40" s="1"/>
      <c r="F40" s="1"/>
      <c r="G40" s="2"/>
      <c r="H40" s="1"/>
      <c r="I40" s="1"/>
      <c r="J40" s="1"/>
    </row>
    <row r="41" s="50" customFormat="true" ht="13.5" hidden="false" customHeight="false" outlineLevel="0" collapsed="false">
      <c r="A41" s="1"/>
      <c r="B41" s="1"/>
      <c r="C41" s="1"/>
      <c r="D41" s="1"/>
      <c r="E41" s="1"/>
      <c r="F41" s="1"/>
      <c r="G41" s="2"/>
      <c r="H41" s="1"/>
      <c r="I41" s="1"/>
      <c r="J41" s="1"/>
    </row>
    <row r="42" s="50" customFormat="true" ht="13.5" hidden="false" customHeight="false" outlineLevel="0" collapsed="false">
      <c r="A42" s="1"/>
      <c r="B42" s="1"/>
      <c r="C42" s="1"/>
      <c r="D42" s="1"/>
      <c r="E42" s="1"/>
      <c r="F42" s="1"/>
      <c r="G42" s="2"/>
      <c r="H42" s="1"/>
      <c r="I42" s="1"/>
      <c r="J42" s="1"/>
    </row>
  </sheetData>
  <mergeCells count="7">
    <mergeCell ref="A1:H1"/>
    <mergeCell ref="C4:C5"/>
    <mergeCell ref="C9:C10"/>
    <mergeCell ref="D11:H11"/>
    <mergeCell ref="G21:G22"/>
    <mergeCell ref="H21:H22"/>
    <mergeCell ref="B24:H29"/>
  </mergeCells>
  <hyperlinks>
    <hyperlink ref="D11" r:id="rId1" display="http://www.i-moojinsci.co.kr/"/>
  </hyperlinks>
  <printOptions headings="false" gridLines="false" gridLinesSet="true" horizontalCentered="false" verticalCentered="false"/>
  <pageMargins left="0.170138888888889" right="0.159722222222222" top="1.07013888888889" bottom="0.7" header="0.511811023622047" footer="0.511811023622047"/>
  <pageSetup paperSize="9" scale="9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2010-05-19T00:56:10Z</dcterms:created>
  <dc:creator>user</dc:creator>
  <dc:description/>
  <dc:language>en-US</dc:language>
  <cp:lastModifiedBy>세환</cp:lastModifiedBy>
  <cp:lastPrinted>2023-06-22T09:08:50Z</cp:lastPrinted>
  <dcterms:modified xsi:type="dcterms:W3CDTF">2026-10-20T09:30:40Z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