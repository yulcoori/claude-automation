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세환\Desktop\사무실 서류\결제서류\261001 박숙영 교수님실 바이오필 (2,400,000)\"/>
    </mc:Choice>
  </mc:AlternateContent>
  <xr:revisionPtr revIDLastSave="0" documentId="13_ncr:1_{706C9789-AF22-4A19-BD06-E901A9917C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견적서" sheetId="2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견적서!#REF!</definedName>
    <definedName name="\S" localSheetId="0">'[1]1008HC'!#REF!</definedName>
    <definedName name="\S">'[1]1008HC'!#REF!</definedName>
    <definedName name="a" localSheetId="0">'[2]1008HC'!#REF!</definedName>
    <definedName name="a">'[2]1008HC'!#REF!</definedName>
    <definedName name="ListItem01">[3]발신정보!$C$4</definedName>
    <definedName name="ListItem02">[3]발신정보!$C$5</definedName>
    <definedName name="ListItem04">[3]발신정보!$C$7</definedName>
    <definedName name="ListItem07">[3]발신정보!$C$11</definedName>
    <definedName name="Nis">[4]cp60e!$A$1:$IV$5</definedName>
    <definedName name="_xlnm.Print_Area" localSheetId="0">견적서!$A$1:$H$29</definedName>
    <definedName name="Print_Area_MI" localSheetId="0">'[5]3010-1'!#REF!</definedName>
    <definedName name="Print_Area_MI">'[5]3010-1'!#REF!</definedName>
    <definedName name="print_title" localSheetId="0">'[6]99년 3월경'!#REF!</definedName>
    <definedName name="print_title">'[6]99년 3월경'!#REF!</definedName>
    <definedName name="_xlnm.Print_Titles" localSheetId="0">견적서!$25:$33</definedName>
    <definedName name="PRINT_TITLES_MI">#REF!</definedName>
    <definedName name="q">[7]U3010!$A$6:$H$82</definedName>
    <definedName name="광주" localSheetId="0">'[8]1008HC'!#REF!</definedName>
    <definedName name="광주">'[8]1008HC'!#REF!</definedName>
    <definedName name="구분">[9]Sheet5!$A$1:$A$2</definedName>
    <definedName name="사용구분">[9]Sheet5!$B$1:$B$2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<sst xmlns="http://schemas.openxmlformats.org/spreadsheetml/2006/main" count="41" uniqueCount="39">
  <si>
    <t>품명</t>
  </si>
  <si>
    <t>규격</t>
  </si>
  <si>
    <t>단위</t>
  </si>
  <si>
    <t>소   계</t>
    <phoneticPr fontId="8" type="noConversion"/>
  </si>
  <si>
    <t>담당</t>
    <phoneticPr fontId="8" type="noConversion"/>
  </si>
  <si>
    <t>V A T</t>
    <phoneticPr fontId="8" type="noConversion"/>
  </si>
  <si>
    <t>합  계</t>
    <phoneticPr fontId="8" type="noConversion"/>
  </si>
  <si>
    <t xml:space="preserve">특이
사항  </t>
    <phoneticPr fontId="8" type="noConversion"/>
  </si>
  <si>
    <t xml:space="preserve">수신 : </t>
    <phoneticPr fontId="8" type="noConversion"/>
  </si>
  <si>
    <t>번호</t>
    <phoneticPr fontId="8" type="noConversion"/>
  </si>
  <si>
    <t>수량</t>
    <phoneticPr fontId="8" type="noConversion"/>
  </si>
  <si>
    <t>단가</t>
    <phoneticPr fontId="8" type="noConversion"/>
  </si>
  <si>
    <t>상      호</t>
    <phoneticPr fontId="8" type="noConversion"/>
  </si>
  <si>
    <t>바이오필</t>
    <phoneticPr fontId="8" type="noConversion"/>
  </si>
  <si>
    <t>등록번호</t>
    <phoneticPr fontId="8" type="noConversion"/>
  </si>
  <si>
    <t>402-02-63826</t>
    <phoneticPr fontId="8" type="noConversion"/>
  </si>
  <si>
    <t>사 업 장</t>
    <phoneticPr fontId="8" type="noConversion"/>
  </si>
  <si>
    <t>대 표 자</t>
    <phoneticPr fontId="8" type="noConversion"/>
  </si>
  <si>
    <t>전화번호</t>
    <phoneticPr fontId="8" type="noConversion"/>
  </si>
  <si>
    <t>공급가액</t>
    <phoneticPr fontId="8" type="noConversion"/>
  </si>
  <si>
    <t>세액</t>
    <phoneticPr fontId="8" type="noConversion"/>
  </si>
  <si>
    <t>일자 :</t>
    <phoneticPr fontId="8" type="noConversion"/>
  </si>
  <si>
    <t>견    적    서</t>
    <phoneticPr fontId="8" type="noConversion"/>
  </si>
  <si>
    <t>*아래와 같이 견적드립니다.</t>
    <phoneticPr fontId="8" type="noConversion"/>
  </si>
  <si>
    <t xml:space="preserve">견적금액 </t>
    <phoneticPr fontId="8" type="noConversion"/>
  </si>
  <si>
    <t>이세환</t>
    <phoneticPr fontId="8" type="noConversion"/>
  </si>
  <si>
    <t>010-2470-2771</t>
    <phoneticPr fontId="8" type="noConversion"/>
  </si>
  <si>
    <t xml:space="preserve">  고객지원팀</t>
    <phoneticPr fontId="8" type="noConversion"/>
  </si>
  <si>
    <t xml:space="preserve">전남광주통합특별시 순천시 덕연로 68 </t>
    <phoneticPr fontId="8" type="noConversion"/>
  </si>
  <si>
    <t>국립순천대학교 산학협력단</t>
    <phoneticPr fontId="8" type="noConversion"/>
  </si>
  <si>
    <t>부가세 포함</t>
    <phoneticPr fontId="8" type="noConversion"/>
  </si>
  <si>
    <t>EA</t>
    <phoneticPr fontId="8" type="noConversion"/>
  </si>
  <si>
    <t>PK</t>
    <phoneticPr fontId="8" type="noConversion"/>
  </si>
  <si>
    <t>Piko PCR Plate, 96-well, clear</t>
    <phoneticPr fontId="8" type="noConversion"/>
  </si>
  <si>
    <t>SPL0960</t>
    <phoneticPr fontId="8" type="noConversion"/>
  </si>
  <si>
    <t>ATP Determination Kit</t>
    <phoneticPr fontId="8" type="noConversion"/>
  </si>
  <si>
    <t>A22066</t>
    <phoneticPr fontId="8" type="noConversion"/>
  </si>
  <si>
    <t>Low Profile Tubes (white) and Ultra Clear Caps, strips of 8</t>
    <phoneticPr fontId="8" type="noConversion"/>
  </si>
  <si>
    <t>AB1771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</si>
</sst>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&quot;₩&quot;#,##0;&quot;₩&quot;&quot;₩&quot;&quot;₩&quot;&quot;₩&quot;&quot;₩&quot;&quot;₩&quot;&quot;₩&quot;&quot;₩&quot;\-#,##0"/>
    <numFmt numFmtId="179" formatCode="&quot;₩&quot;#,##0.00;&quot;₩&quot;&quot;₩&quot;&quot;₩&quot;&quot;₩&quot;&quot;₩&quot;&quot;₩&quot;&quot;₩&quot;&quot;₩&quot;\-#,##0.00"/>
    <numFmt numFmtId="180" formatCode="#,##0_);[Red]\(#,##0\)"/>
    <numFmt numFmtId="181" formatCode="#,##0_ "/>
    <numFmt numFmtId="182" formatCode="General_)"/>
    <numFmt numFmtId="183" formatCode="&quot;₩&quot;#,##0"/>
    <numFmt numFmtId="184" formatCode="0_);[Red]\(0\)"/>
    <numFmt numFmtId="185" formatCode="&quot;R$&quot;#,##0.00;&quot;R$&quot;\-#,##0.00"/>
    <numFmt numFmtId="186" formatCode="yyyy&quot;년&quot;\ m&quot;월&quot;\ d&quot;일&quot;;@"/>
    <numFmt numFmtId="187" formatCode="[DBNum4]&quot;일&quot;&quot;금&quot;[$-412]General&quot;원&quot;&quot;정&quot;"/>
  </numFmts>
  <fonts count="6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¹UAAA¼"/>
      <family val="3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name val="HY신명조"/>
      <family val="1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Helv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b/>
      <sz val="10"/>
      <name val="MS Sans Serif"/>
      <family val="2"/>
    </font>
    <font>
      <b/>
      <i/>
      <sz val="12"/>
      <color indexed="9"/>
      <name val="Arial"/>
      <family val="2"/>
    </font>
    <font>
      <b/>
      <sz val="18"/>
      <name val="Arial"/>
      <family val="2"/>
    </font>
    <font>
      <sz val="10"/>
      <name val="Times New Roman"/>
      <family val="1"/>
    </font>
    <font>
      <b/>
      <sz val="26"/>
      <name val="HY헤드라인M"/>
      <family val="1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굴림"/>
      <family val="3"/>
      <charset val="129"/>
    </font>
    <font>
      <b/>
      <u val="double"/>
      <sz val="40"/>
      <name val="HY헤드라인M"/>
      <family val="1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sz val="18"/>
      <name val="굴림"/>
      <family val="3"/>
      <charset val="129"/>
    </font>
    <font>
      <sz val="14"/>
      <name val="굴림"/>
      <family val="3"/>
      <charset val="129"/>
    </font>
    <font>
      <b/>
      <sz val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8"/>
      <name val="굴림"/>
      <family val="3"/>
      <charset val="129"/>
    </font>
    <font>
      <sz val="9"/>
      <name val="맑은 고딕"/>
      <family val="3"/>
      <charset val="129"/>
      <scheme val="maj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51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0" borderId="1" applyNumberFormat="0" applyAlignment="0" applyProtection="0">
      <alignment vertical="center"/>
    </xf>
    <xf numFmtId="0" fontId="28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13" fillId="0" borderId="0" applyFill="0" applyBorder="0" applyProtection="0">
      <alignment horizontal="left" shrinkToFit="1"/>
    </xf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185" fontId="28" fillId="0" borderId="0"/>
    <xf numFmtId="0" fontId="14" fillId="3" borderId="0" applyNumberFormat="0" applyBorder="0" applyAlignment="0" applyProtection="0">
      <alignment vertical="center"/>
    </xf>
    <xf numFmtId="0" fontId="30" fillId="0" borderId="0">
      <protection locked="0"/>
    </xf>
    <xf numFmtId="0" fontId="30" fillId="0" borderId="0">
      <protection locked="0"/>
    </xf>
    <xf numFmtId="0" fontId="4" fillId="21" borderId="2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182" fontId="5" fillId="0" borderId="0"/>
    <xf numFmtId="0" fontId="16" fillId="0" borderId="0" applyNumberFormat="0" applyFill="0" applyBorder="0" applyAlignment="0" applyProtection="0">
      <alignment vertical="center"/>
    </xf>
    <xf numFmtId="0" fontId="17" fillId="23" borderId="3" applyNumberFormat="0" applyAlignment="0" applyProtection="0">
      <alignment vertical="center"/>
    </xf>
    <xf numFmtId="49" fontId="31" fillId="0" borderId="0">
      <alignment horizontal="center" vertical="center" wrapText="1"/>
    </xf>
    <xf numFmtId="0" fontId="32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0" fontId="33" fillId="0" borderId="0"/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4" fontId="30" fillId="0" borderId="0">
      <protection locked="0"/>
    </xf>
    <xf numFmtId="0" fontId="28" fillId="0" borderId="0">
      <protection locked="0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0" fontId="28" fillId="0" borderId="0" applyFont="0" applyFill="0" applyBorder="0" applyAlignment="0" applyProtection="0"/>
    <xf numFmtId="42" fontId="4" fillId="0" borderId="0" applyFont="0" applyFill="0" applyBorder="0" applyAlignment="0" applyProtection="0">
      <alignment vertical="center"/>
    </xf>
    <xf numFmtId="180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0" fontId="28" fillId="0" borderId="0">
      <protection locked="0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5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28" fillId="0" borderId="0"/>
    <xf numFmtId="0" fontId="51" fillId="0" borderId="0">
      <alignment vertical="center"/>
    </xf>
    <xf numFmtId="0" fontId="9" fillId="0" borderId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/>
    <xf numFmtId="0" fontId="4" fillId="0" borderId="0"/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0" fillId="0" borderId="10">
      <protection locked="0"/>
    </xf>
    <xf numFmtId="0" fontId="28" fillId="0" borderId="0">
      <protection locked="0"/>
    </xf>
    <xf numFmtId="0" fontId="28" fillId="0" borderId="0"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35" fillId="0" borderId="0" applyFill="0" applyBorder="0" applyAlignment="0" applyProtection="0"/>
    <xf numFmtId="2" fontId="35" fillId="0" borderId="0" applyFill="0" applyBorder="0" applyAlignment="0" applyProtection="0"/>
    <xf numFmtId="0" fontId="27" fillId="0" borderId="11" applyNumberFormat="0" applyAlignment="0" applyProtection="0">
      <alignment horizontal="left" vertical="center"/>
    </xf>
    <xf numFmtId="0" fontId="27" fillId="0" borderId="12">
      <alignment horizontal="left" vertical="center"/>
    </xf>
    <xf numFmtId="0" fontId="36" fillId="0" borderId="0" applyNumberFormat="0" applyFill="0" applyBorder="0" applyAlignment="0" applyProtection="0"/>
    <xf numFmtId="0" fontId="37" fillId="24" borderId="0">
      <alignment horizontal="left" vertical="top" wrapText="1"/>
    </xf>
    <xf numFmtId="0" fontId="27" fillId="0" borderId="0">
      <alignment horizontal="center" vertical="top" wrapText="1"/>
    </xf>
    <xf numFmtId="0" fontId="3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9" fillId="0" borderId="12">
      <alignment vertical="top" wrapText="1"/>
    </xf>
    <xf numFmtId="0" fontId="5" fillId="0" borderId="0"/>
    <xf numFmtId="0" fontId="35" fillId="0" borderId="13" applyNumberFormat="0" applyFill="0" applyAlignment="0" applyProtection="0"/>
    <xf numFmtId="0" fontId="3" fillId="0" borderId="0">
      <alignment vertical="center"/>
    </xf>
    <xf numFmtId="0" fontId="52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97">
    <xf numFmtId="0" fontId="0" fillId="0" borderId="0" xfId="0"/>
    <xf numFmtId="0" fontId="8" fillId="0" borderId="0" xfId="114" applyFont="1" applyAlignment="1">
      <alignment vertical="center"/>
    </xf>
    <xf numFmtId="0" fontId="8" fillId="0" borderId="0" xfId="114" applyFont="1" applyAlignment="1">
      <alignment horizontal="center" vertical="center"/>
    </xf>
    <xf numFmtId="0" fontId="8" fillId="0" borderId="0" xfId="114" applyFont="1" applyAlignment="1">
      <alignment vertical="center" wrapText="1"/>
    </xf>
    <xf numFmtId="0" fontId="8" fillId="0" borderId="0" xfId="114" applyFont="1" applyAlignment="1">
      <alignment horizontal="center" vertical="center" wrapText="1"/>
    </xf>
    <xf numFmtId="0" fontId="40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center" vertical="center"/>
    </xf>
    <xf numFmtId="0" fontId="42" fillId="0" borderId="0" xfId="114" applyFont="1" applyAlignment="1">
      <alignment vertical="center"/>
    </xf>
    <xf numFmtId="0" fontId="42" fillId="0" borderId="0" xfId="114" applyFont="1" applyAlignment="1">
      <alignment vertical="center" wrapText="1"/>
    </xf>
    <xf numFmtId="0" fontId="41" fillId="0" borderId="0" xfId="114" applyFont="1" applyAlignment="1">
      <alignment horizontal="center" vertical="center" wrapText="1"/>
    </xf>
    <xf numFmtId="0" fontId="7" fillId="0" borderId="0" xfId="114" applyFont="1" applyAlignment="1">
      <alignment horizontal="center" vertical="center" shrinkToFit="1"/>
    </xf>
    <xf numFmtId="0" fontId="7" fillId="26" borderId="0" xfId="114" applyFont="1" applyFill="1" applyAlignment="1">
      <alignment horizontal="center" vertical="center" shrinkToFit="1"/>
    </xf>
    <xf numFmtId="0" fontId="4" fillId="0" borderId="0" xfId="114" applyFont="1" applyAlignment="1">
      <alignment horizontal="center" vertical="center"/>
    </xf>
    <xf numFmtId="0" fontId="4" fillId="0" borderId="0" xfId="114" applyFont="1" applyAlignment="1">
      <alignment vertical="center" wrapText="1"/>
    </xf>
    <xf numFmtId="0" fontId="4" fillId="0" borderId="0" xfId="114" applyFont="1" applyAlignment="1">
      <alignment horizontal="center" vertical="center" wrapText="1"/>
    </xf>
    <xf numFmtId="0" fontId="4" fillId="0" borderId="0" xfId="114" applyFont="1" applyAlignment="1">
      <alignment vertical="center"/>
    </xf>
    <xf numFmtId="0" fontId="42" fillId="0" borderId="0" xfId="114" applyFont="1" applyAlignment="1">
      <alignment horizontal="left" vertical="center" wrapText="1"/>
    </xf>
    <xf numFmtId="0" fontId="47" fillId="0" borderId="14" xfId="114" applyFont="1" applyBorder="1" applyAlignment="1">
      <alignment horizontal="center" vertical="center"/>
    </xf>
    <xf numFmtId="0" fontId="7" fillId="0" borderId="15" xfId="114" applyFont="1" applyBorder="1" applyAlignment="1">
      <alignment horizontal="center" vertical="center" shrinkToFit="1"/>
    </xf>
    <xf numFmtId="0" fontId="46" fillId="27" borderId="17" xfId="114" applyFont="1" applyFill="1" applyBorder="1" applyAlignment="1">
      <alignment horizontal="center" vertical="center" wrapText="1"/>
    </xf>
    <xf numFmtId="0" fontId="41" fillId="0" borderId="32" xfId="114" applyFont="1" applyBorder="1" applyAlignment="1">
      <alignment horizontal="center" vertical="center" wrapText="1"/>
    </xf>
    <xf numFmtId="0" fontId="47" fillId="0" borderId="33" xfId="114" applyFont="1" applyBorder="1" applyAlignment="1">
      <alignment horizontal="center" vertical="center" shrinkToFit="1"/>
    </xf>
    <xf numFmtId="0" fontId="7" fillId="0" borderId="14" xfId="114" applyFont="1" applyBorder="1" applyAlignment="1">
      <alignment horizontal="center" vertical="center" shrinkToFit="1"/>
    </xf>
    <xf numFmtId="41" fontId="4" fillId="0" borderId="15" xfId="52" applyFont="1" applyFill="1" applyBorder="1" applyAlignment="1">
      <alignment horizontal="center" vertical="center" shrinkToFit="1"/>
    </xf>
    <xf numFmtId="41" fontId="4" fillId="0" borderId="34" xfId="52" applyFont="1" applyFill="1" applyBorder="1" applyAlignment="1">
      <alignment horizontal="center" vertical="center" shrinkToFit="1"/>
    </xf>
    <xf numFmtId="0" fontId="58" fillId="0" borderId="17" xfId="115" applyFont="1" applyBorder="1" applyAlignment="1">
      <alignment horizontal="center" vertical="center" shrinkToFit="1"/>
    </xf>
    <xf numFmtId="41" fontId="57" fillId="28" borderId="17" xfId="115" applyNumberFormat="1" applyFont="1" applyFill="1" applyBorder="1" applyAlignment="1">
      <alignment horizontal="right" vertical="center" shrinkToFit="1"/>
    </xf>
    <xf numFmtId="0" fontId="56" fillId="0" borderId="17" xfId="0" applyFont="1" applyBorder="1" applyAlignment="1">
      <alignment horizontal="center" vertical="center"/>
    </xf>
    <xf numFmtId="181" fontId="56" fillId="0" borderId="17" xfId="0" applyNumberFormat="1" applyFont="1" applyBorder="1" applyAlignment="1">
      <alignment vertical="center"/>
    </xf>
    <xf numFmtId="0" fontId="53" fillId="0" borderId="17" xfId="115" applyFont="1" applyBorder="1" applyAlignment="1">
      <alignment horizontal="center" vertical="center" shrinkToFit="1"/>
    </xf>
    <xf numFmtId="0" fontId="54" fillId="0" borderId="17" xfId="0" applyFont="1" applyBorder="1" applyAlignment="1">
      <alignment vertical="center"/>
    </xf>
    <xf numFmtId="0" fontId="57" fillId="0" borderId="17" xfId="0" applyFont="1" applyBorder="1" applyAlignment="1">
      <alignment horizontal="center" vertical="center"/>
    </xf>
    <xf numFmtId="41" fontId="57" fillId="0" borderId="17" xfId="52" applyFont="1" applyBorder="1" applyAlignment="1">
      <alignment vertical="center"/>
    </xf>
    <xf numFmtId="0" fontId="58" fillId="0" borderId="17" xfId="0" applyFont="1" applyBorder="1" applyAlignment="1">
      <alignment horizontal="center" vertical="center" wrapText="1"/>
    </xf>
    <xf numFmtId="0" fontId="41" fillId="26" borderId="0" xfId="114" applyFont="1" applyFill="1" applyAlignment="1">
      <alignment horizontal="center" vertical="center" wrapText="1"/>
    </xf>
    <xf numFmtId="186" fontId="43" fillId="0" borderId="0" xfId="114" applyNumberFormat="1" applyFont="1" applyAlignment="1">
      <alignment horizontal="left" vertical="center" wrapText="1" indent="2"/>
    </xf>
    <xf numFmtId="0" fontId="44" fillId="0" borderId="35" xfId="114" applyFont="1" applyBorder="1" applyAlignment="1">
      <alignment horizontal="center" vertical="center" wrapText="1"/>
    </xf>
    <xf numFmtId="0" fontId="44" fillId="0" borderId="23" xfId="114" applyFont="1" applyBorder="1" applyAlignment="1">
      <alignment vertical="center" wrapText="1"/>
    </xf>
    <xf numFmtId="0" fontId="44" fillId="0" borderId="33" xfId="114" applyFont="1" applyBorder="1" applyAlignment="1">
      <alignment vertical="center" wrapText="1"/>
    </xf>
    <xf numFmtId="0" fontId="57" fillId="0" borderId="17" xfId="57" applyNumberFormat="1" applyFont="1" applyBorder="1" applyAlignment="1">
      <alignment horizontal="center" vertical="center"/>
    </xf>
    <xf numFmtId="0" fontId="57" fillId="0" borderId="17" xfId="52" applyNumberFormat="1" applyFont="1" applyBorder="1" applyAlignment="1">
      <alignment vertical="center"/>
    </xf>
    <xf numFmtId="0" fontId="60" fillId="0" borderId="17" xfId="79" applyFont="1" applyBorder="1" applyAlignment="1">
      <alignment horizontal="left" vertical="center" wrapText="1" shrinkToFit="1"/>
    </xf>
    <xf numFmtId="0" fontId="57" fillId="0" borderId="17" xfId="114" applyFont="1" applyBorder="1" applyAlignment="1">
      <alignment horizontal="left" vertical="center" wrapText="1"/>
    </xf>
    <xf numFmtId="0" fontId="57" fillId="0" borderId="17" xfId="79" applyFont="1" applyBorder="1" applyAlignment="1">
      <alignment horizontal="left" vertical="center" wrapText="1" shrinkToFit="1"/>
    </xf>
    <xf numFmtId="180" fontId="57" fillId="0" borderId="17" xfId="52" applyNumberFormat="1" applyFont="1" applyBorder="1" applyAlignment="1">
      <alignment vertical="center"/>
    </xf>
    <xf numFmtId="3" fontId="57" fillId="0" borderId="17" xfId="52" applyNumberFormat="1" applyFont="1" applyBorder="1" applyAlignment="1">
      <alignment vertical="center"/>
    </xf>
    <xf numFmtId="0" fontId="45" fillId="0" borderId="0" xfId="114" applyFont="1" applyAlignment="1">
      <alignment horizontal="center" vertical="center" wrapText="1"/>
    </xf>
    <xf numFmtId="0" fontId="42" fillId="0" borderId="0" xfId="114" applyFont="1" applyAlignment="1">
      <alignment horizontal="left" vertical="center" wrapText="1"/>
    </xf>
    <xf numFmtId="184" fontId="50" fillId="27" borderId="17" xfId="114" applyNumberFormat="1" applyFont="1" applyFill="1" applyBorder="1" applyAlignment="1">
      <alignment horizontal="center" vertical="center" wrapText="1" shrinkToFit="1"/>
    </xf>
    <xf numFmtId="0" fontId="49" fillId="0" borderId="28" xfId="114" applyFont="1" applyBorder="1" applyAlignment="1">
      <alignment horizontal="center" vertical="center"/>
    </xf>
    <xf numFmtId="0" fontId="49" fillId="0" borderId="29" xfId="114" applyFont="1" applyBorder="1" applyAlignment="1">
      <alignment horizontal="center" vertical="center"/>
    </xf>
    <xf numFmtId="0" fontId="49" fillId="0" borderId="30" xfId="114" applyFont="1" applyBorder="1" applyAlignment="1">
      <alignment horizontal="center" vertical="center"/>
    </xf>
    <xf numFmtId="0" fontId="43" fillId="0" borderId="14" xfId="114" applyFont="1" applyBorder="1" applyAlignment="1">
      <alignment horizontal="center" vertical="center" wrapText="1"/>
    </xf>
    <xf numFmtId="0" fontId="43" fillId="0" borderId="16" xfId="114" applyFont="1" applyBorder="1" applyAlignment="1">
      <alignment horizontal="center" vertical="center" wrapText="1"/>
    </xf>
    <xf numFmtId="0" fontId="46" fillId="0" borderId="12" xfId="114" applyFont="1" applyBorder="1" applyAlignment="1">
      <alignment horizontal="center" vertical="center" wrapText="1"/>
    </xf>
    <xf numFmtId="0" fontId="46" fillId="0" borderId="16" xfId="114" applyFont="1" applyBorder="1" applyAlignment="1">
      <alignment horizontal="center" vertical="center" wrapText="1"/>
    </xf>
    <xf numFmtId="0" fontId="42" fillId="0" borderId="12" xfId="114" applyFont="1" applyBorder="1" applyAlignment="1">
      <alignment horizontal="center" vertical="center" wrapText="1"/>
    </xf>
    <xf numFmtId="0" fontId="42" fillId="0" borderId="16" xfId="114" applyFont="1" applyBorder="1" applyAlignment="1">
      <alignment horizontal="center" vertical="center" wrapText="1"/>
    </xf>
    <xf numFmtId="42" fontId="44" fillId="0" borderId="17" xfId="114" applyNumberFormat="1" applyFont="1" applyBorder="1" applyAlignment="1">
      <alignment horizontal="center" vertical="center" wrapText="1"/>
    </xf>
    <xf numFmtId="187" fontId="59" fillId="0" borderId="17" xfId="114" applyNumberFormat="1" applyFont="1" applyBorder="1" applyAlignment="1">
      <alignment horizontal="right" vertical="center" wrapText="1"/>
    </xf>
    <xf numFmtId="187" fontId="48" fillId="0" borderId="17" xfId="114" applyNumberFormat="1" applyFont="1" applyBorder="1" applyAlignment="1">
      <alignment horizontal="right" vertical="center" wrapText="1"/>
    </xf>
    <xf numFmtId="0" fontId="4" fillId="0" borderId="31" xfId="114" applyFont="1" applyBorder="1" applyAlignment="1">
      <alignment horizontal="right" vertical="center" wrapText="1"/>
    </xf>
    <xf numFmtId="0" fontId="44" fillId="0" borderId="31" xfId="114" applyFont="1" applyBorder="1" applyAlignment="1">
      <alignment horizontal="center" vertical="center" wrapText="1"/>
    </xf>
    <xf numFmtId="0" fontId="44" fillId="0" borderId="36" xfId="114" applyFont="1" applyBorder="1" applyAlignment="1">
      <alignment horizontal="center" vertical="center" wrapText="1"/>
    </xf>
    <xf numFmtId="0" fontId="44" fillId="0" borderId="0" xfId="114" applyFont="1" applyAlignment="1">
      <alignment horizontal="center" vertical="center" wrapText="1"/>
    </xf>
    <xf numFmtId="0" fontId="44" fillId="0" borderId="32" xfId="114" applyFont="1" applyBorder="1" applyAlignment="1">
      <alignment horizontal="center" vertical="center" wrapText="1"/>
    </xf>
    <xf numFmtId="0" fontId="44" fillId="0" borderId="15" xfId="114" applyFont="1" applyBorder="1" applyAlignment="1">
      <alignment horizontal="center" vertical="center" wrapText="1"/>
    </xf>
    <xf numFmtId="0" fontId="44" fillId="0" borderId="34" xfId="114" applyFont="1" applyBorder="1" applyAlignment="1">
      <alignment horizontal="center" vertical="center" wrapText="1"/>
    </xf>
    <xf numFmtId="0" fontId="50" fillId="27" borderId="17" xfId="114" applyFont="1" applyFill="1" applyBorder="1" applyAlignment="1">
      <alignment horizontal="center" vertical="center" shrinkToFit="1"/>
    </xf>
    <xf numFmtId="0" fontId="52" fillId="0" borderId="14" xfId="143" applyBorder="1" applyAlignment="1">
      <alignment horizontal="center" vertical="center" wrapText="1"/>
    </xf>
    <xf numFmtId="0" fontId="52" fillId="0" borderId="16" xfId="143" applyBorder="1" applyAlignment="1">
      <alignment horizontal="center" vertical="center" wrapText="1"/>
    </xf>
    <xf numFmtId="0" fontId="41" fillId="25" borderId="18" xfId="0" applyFont="1" applyFill="1" applyBorder="1" applyAlignment="1" applyProtection="1">
      <alignment horizontal="center" vertical="center" wrapText="1"/>
      <protection locked="0"/>
    </xf>
    <xf numFmtId="0" fontId="41" fillId="25" borderId="19" xfId="0" applyFont="1" applyFill="1" applyBorder="1" applyAlignment="1" applyProtection="1">
      <alignment horizontal="center" vertical="center" wrapText="1"/>
      <protection locked="0"/>
    </xf>
    <xf numFmtId="0" fontId="55" fillId="0" borderId="20" xfId="114" applyFont="1" applyBorder="1" applyAlignment="1">
      <alignment horizontal="left" vertical="top" wrapText="1"/>
    </xf>
    <xf numFmtId="0" fontId="55" fillId="0" borderId="21" xfId="114" applyFont="1" applyBorder="1" applyAlignment="1">
      <alignment horizontal="left" vertical="top" wrapText="1"/>
    </xf>
    <xf numFmtId="0" fontId="55" fillId="0" borderId="22" xfId="114" applyFont="1" applyBorder="1" applyAlignment="1">
      <alignment horizontal="left" vertical="top" wrapText="1"/>
    </xf>
    <xf numFmtId="0" fontId="55" fillId="0" borderId="23" xfId="114" applyFont="1" applyBorder="1" applyAlignment="1">
      <alignment horizontal="left" vertical="top" wrapText="1"/>
    </xf>
    <xf numFmtId="0" fontId="55" fillId="0" borderId="0" xfId="114" applyFont="1" applyAlignment="1">
      <alignment horizontal="left" vertical="top" wrapText="1"/>
    </xf>
    <xf numFmtId="0" fontId="55" fillId="0" borderId="24" xfId="114" applyFont="1" applyBorder="1" applyAlignment="1">
      <alignment horizontal="left" vertical="top" wrapText="1"/>
    </xf>
    <xf numFmtId="0" fontId="55" fillId="0" borderId="25" xfId="114" applyFont="1" applyBorder="1" applyAlignment="1">
      <alignment horizontal="left" vertical="top" wrapText="1"/>
    </xf>
    <xf numFmtId="0" fontId="55" fillId="0" borderId="26" xfId="114" applyFont="1" applyBorder="1" applyAlignment="1">
      <alignment horizontal="left" vertical="top" wrapText="1"/>
    </xf>
    <xf numFmtId="0" fontId="55" fillId="0" borderId="27" xfId="114" applyFont="1" applyBorder="1" applyAlignment="1">
      <alignment horizontal="left" vertical="top" wrapText="1"/>
    </xf>
    <xf numFmtId="41" fontId="49" fillId="0" borderId="33" xfId="52" applyFont="1" applyFill="1" applyBorder="1" applyAlignment="1">
      <alignment horizontal="center" vertical="center" shrinkToFit="1"/>
    </xf>
    <xf numFmtId="41" fontId="49" fillId="0" borderId="15" xfId="52" applyFont="1" applyFill="1" applyBorder="1" applyAlignment="1">
      <alignment horizontal="center" vertical="center" shrinkToFit="1"/>
    </xf>
    <xf numFmtId="41" fontId="49" fillId="0" borderId="34" xfId="52" applyFont="1" applyFill="1" applyBorder="1" applyAlignment="1">
      <alignment horizontal="center" vertical="center" shrinkToFit="1"/>
    </xf>
    <xf numFmtId="41" fontId="49" fillId="0" borderId="14" xfId="114" applyNumberFormat="1" applyFont="1" applyBorder="1" applyAlignment="1">
      <alignment horizontal="right" vertical="center"/>
    </xf>
    <xf numFmtId="41" fontId="49" fillId="0" borderId="12" xfId="114" applyNumberFormat="1" applyFont="1" applyBorder="1" applyAlignment="1">
      <alignment horizontal="right" vertical="center"/>
    </xf>
    <xf numFmtId="41" fontId="49" fillId="0" borderId="16" xfId="114" applyNumberFormat="1" applyFont="1" applyBorder="1" applyAlignment="1">
      <alignment horizontal="right" vertical="center"/>
    </xf>
    <xf numFmtId="41" fontId="49" fillId="0" borderId="14" xfId="114" applyNumberFormat="1" applyFont="1" applyBorder="1" applyAlignment="1">
      <alignment horizontal="center" vertical="center"/>
    </xf>
    <xf numFmtId="41" fontId="49" fillId="0" borderId="12" xfId="114" applyNumberFormat="1" applyFont="1" applyBorder="1" applyAlignment="1">
      <alignment horizontal="center" vertical="center"/>
    </xf>
    <xf numFmtId="41" fontId="49" fillId="0" borderId="16" xfId="114" applyNumberFormat="1" applyFont="1" applyBorder="1" applyAlignment="1">
      <alignment horizontal="center" vertical="center"/>
    </xf>
    <xf numFmtId="41" fontId="57" fillId="28" borderId="28" xfId="115" applyNumberFormat="1" applyFont="1" applyFill="1" applyBorder="1" applyAlignment="1">
      <alignment horizontal="center" vertical="center" shrinkToFit="1"/>
    </xf>
    <xf numFmtId="41" fontId="57" fillId="28" borderId="29" xfId="115" applyNumberFormat="1" applyFont="1" applyFill="1" applyBorder="1" applyAlignment="1">
      <alignment horizontal="center" vertical="center" shrinkToFit="1"/>
    </xf>
    <xf numFmtId="0" fontId="43" fillId="0" borderId="17" xfId="114" applyFont="1" applyBorder="1" applyAlignment="1">
      <alignment horizontal="center" vertical="center" wrapText="1"/>
    </xf>
    <xf numFmtId="0" fontId="46" fillId="0" borderId="14" xfId="114" applyFont="1" applyBorder="1" applyAlignment="1">
      <alignment horizontal="center" vertical="center" wrapText="1"/>
    </xf>
    <xf numFmtId="41" fontId="57" fillId="28" borderId="17" xfId="115" applyNumberFormat="1" applyFont="1" applyFill="1" applyBorder="1" applyAlignment="1">
      <alignment horizontal="center" vertical="center" shrinkToFit="1"/>
    </xf>
  </cellXfs>
  <cellStyles count="151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AeE­ [0]_INQUIRY ¿μ¾÷AßAø " xfId="121" xr:uid="{00000000-0005-0000-0000-000012000000}"/>
    <cellStyle name="AeE­_INQUIRY ¿μ¾÷AßAø " xfId="122" xr:uid="{00000000-0005-0000-0000-000013000000}"/>
    <cellStyle name="AÞ¸¶ [0]_INQUIRY ¿μ¾÷AßAø " xfId="123" xr:uid="{00000000-0005-0000-0000-000014000000}"/>
    <cellStyle name="AÞ¸¶_INQUIRY ¿μ¾÷AßAø " xfId="124" xr:uid="{00000000-0005-0000-0000-000015000000}"/>
    <cellStyle name="C￥AØ_¿μ¾÷CoE² " xfId="125" xr:uid="{00000000-0005-0000-0000-000016000000}"/>
    <cellStyle name="Comma [0]_ SG&amp;A Bridge " xfId="126" xr:uid="{00000000-0005-0000-0000-000017000000}"/>
    <cellStyle name="Comma_ SG&amp;A Bridge " xfId="127" xr:uid="{00000000-0005-0000-0000-000018000000}"/>
    <cellStyle name="Currency [0]_ SG&amp;A Bridge " xfId="128" xr:uid="{00000000-0005-0000-0000-000019000000}"/>
    <cellStyle name="Currency_ SG&amp;A Bridge " xfId="129" xr:uid="{00000000-0005-0000-0000-00001A000000}"/>
    <cellStyle name="Date" xfId="130" xr:uid="{00000000-0005-0000-0000-00001B000000}"/>
    <cellStyle name="Fixed" xfId="131" xr:uid="{00000000-0005-0000-0000-00001C000000}"/>
    <cellStyle name="Header1" xfId="132" xr:uid="{00000000-0005-0000-0000-00001D000000}"/>
    <cellStyle name="Header2" xfId="133" xr:uid="{00000000-0005-0000-0000-00001E000000}"/>
    <cellStyle name="Heading" xfId="134" xr:uid="{00000000-0005-0000-0000-00001F000000}"/>
    <cellStyle name="Heading 2" xfId="135" xr:uid="{00000000-0005-0000-0000-000020000000}"/>
    <cellStyle name="Heading 3" xfId="136" xr:uid="{00000000-0005-0000-0000-000021000000}"/>
    <cellStyle name="HEADING1" xfId="137" xr:uid="{00000000-0005-0000-0000-000022000000}"/>
    <cellStyle name="HEADING2" xfId="138" xr:uid="{00000000-0005-0000-0000-000023000000}"/>
    <cellStyle name="Line Items" xfId="139" xr:uid="{00000000-0005-0000-0000-000024000000}"/>
    <cellStyle name="Normal_ SG&amp;A Bridge " xfId="140" xr:uid="{00000000-0005-0000-0000-000025000000}"/>
    <cellStyle name="Total" xfId="141" xr:uid="{00000000-0005-0000-0000-000026000000}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고정소숫점" xfId="27" xr:uid="{00000000-0005-0000-0000-00002F000000}"/>
    <cellStyle name="고정출력1" xfId="28" xr:uid="{00000000-0005-0000-0000-000030000000}"/>
    <cellStyle name="고정출력2" xfId="29" xr:uid="{00000000-0005-0000-0000-000031000000}"/>
    <cellStyle name="과정별배정" xfId="30" xr:uid="{00000000-0005-0000-0000-000032000000}"/>
    <cellStyle name="咬訌裝?INCOM1" xfId="31" xr:uid="{00000000-0005-0000-0000-000033000000}"/>
    <cellStyle name="咬訌裝?INCOM10" xfId="32" xr:uid="{00000000-0005-0000-0000-000034000000}"/>
    <cellStyle name="咬訌裝?INCOM2" xfId="33" xr:uid="{00000000-0005-0000-0000-000035000000}"/>
    <cellStyle name="咬訌裝?INCOM3" xfId="34" xr:uid="{00000000-0005-0000-0000-000036000000}"/>
    <cellStyle name="咬訌裝?INCOM4" xfId="35" xr:uid="{00000000-0005-0000-0000-000037000000}"/>
    <cellStyle name="咬訌裝?INCOM5" xfId="36" xr:uid="{00000000-0005-0000-0000-000038000000}"/>
    <cellStyle name="咬訌裝?INCOM6" xfId="37" xr:uid="{00000000-0005-0000-0000-000039000000}"/>
    <cellStyle name="咬訌裝?INCOM7" xfId="38" xr:uid="{00000000-0005-0000-0000-00003A000000}"/>
    <cellStyle name="咬訌裝?INCOM8" xfId="39" xr:uid="{00000000-0005-0000-0000-00003B000000}"/>
    <cellStyle name="咬訌裝?INCOM9" xfId="40" xr:uid="{00000000-0005-0000-0000-00003C000000}"/>
    <cellStyle name="咬訌裝?PRIB11" xfId="41" xr:uid="{00000000-0005-0000-0000-00003D000000}"/>
    <cellStyle name="나쁨" xfId="42" builtinId="27" customBuiltin="1"/>
    <cellStyle name="날짜" xfId="43" xr:uid="{00000000-0005-0000-0000-00003F000000}"/>
    <cellStyle name="달러" xfId="44" xr:uid="{00000000-0005-0000-0000-000040000000}"/>
    <cellStyle name="메모" xfId="45" builtinId="10" customBuiltin="1"/>
    <cellStyle name="보통" xfId="46" builtinId="28" customBuiltin="1"/>
    <cellStyle name="뷭?_AA-6800" xfId="47" xr:uid="{00000000-0005-0000-0000-000043000000}"/>
    <cellStyle name="설명 텍스트" xfId="48" builtinId="53" customBuiltin="1"/>
    <cellStyle name="셀 확인" xfId="49" builtinId="23" customBuiltin="1"/>
    <cellStyle name="수거검정" xfId="50" xr:uid="{00000000-0005-0000-0000-000046000000}"/>
    <cellStyle name="숫자(R)" xfId="51" xr:uid="{00000000-0005-0000-0000-000047000000}"/>
    <cellStyle name="쉼표 [0]" xfId="52" builtinId="6"/>
    <cellStyle name="쉼표 [0] 2" xfId="53" xr:uid="{00000000-0005-0000-0000-000049000000}"/>
    <cellStyle name="쉼표 [0] 2 2" xfId="54" xr:uid="{00000000-0005-0000-0000-00004A000000}"/>
    <cellStyle name="쉼표 [0] 2 2 2" xfId="55" xr:uid="{00000000-0005-0000-0000-00004B000000}"/>
    <cellStyle name="쉼표 [0] 2 3" xfId="56" xr:uid="{00000000-0005-0000-0000-00004C000000}"/>
    <cellStyle name="쉼표 [0] 3" xfId="57" xr:uid="{00000000-0005-0000-0000-00004D000000}"/>
    <cellStyle name="쉼표 [0] 4" xfId="58" xr:uid="{00000000-0005-0000-0000-00004E000000}"/>
    <cellStyle name="스타일 1" xfId="59" xr:uid="{00000000-0005-0000-0000-00004F000000}"/>
    <cellStyle name="연결된 셀" xfId="60" builtinId="24" customBuiltin="1"/>
    <cellStyle name="요약" xfId="61" builtinId="25" customBuiltin="1"/>
    <cellStyle name="입력" xfId="62" builtinId="20" customBuiltin="1"/>
    <cellStyle name="자리수" xfId="63" xr:uid="{00000000-0005-0000-0000-000053000000}"/>
    <cellStyle name="자리수0" xfId="64" xr:uid="{00000000-0005-0000-0000-000054000000}"/>
    <cellStyle name="제목" xfId="65" builtinId="15" customBuiltin="1"/>
    <cellStyle name="제목 1" xfId="66" builtinId="16" customBuiltin="1"/>
    <cellStyle name="제목 2" xfId="67" builtinId="17" customBuiltin="1"/>
    <cellStyle name="제목 3" xfId="68" builtinId="18" customBuiltin="1"/>
    <cellStyle name="제목 4" xfId="69" builtinId="19" customBuiltin="1"/>
    <cellStyle name="좋음" xfId="70" builtinId="26" customBuiltin="1"/>
    <cellStyle name="출력" xfId="71" builtinId="21" customBuiltin="1"/>
    <cellStyle name="콤마 [0]_(type)총괄" xfId="72" xr:uid="{00000000-0005-0000-0000-00005C000000}"/>
    <cellStyle name="콤마_(type)총괄" xfId="73" xr:uid="{00000000-0005-0000-0000-00005D000000}"/>
    <cellStyle name="통화 [0] 2" xfId="74" xr:uid="{00000000-0005-0000-0000-00005E000000}"/>
    <cellStyle name="통화 [0] 2 2" xfId="75" xr:uid="{00000000-0005-0000-0000-00005F000000}"/>
    <cellStyle name="통화 [0] 3" xfId="76" xr:uid="{00000000-0005-0000-0000-000060000000}"/>
    <cellStyle name="통화 [0] 4" xfId="77" xr:uid="{00000000-0005-0000-0000-000061000000}"/>
    <cellStyle name="퍼센트" xfId="78" xr:uid="{00000000-0005-0000-0000-000062000000}"/>
    <cellStyle name="표준" xfId="0" builtinId="0"/>
    <cellStyle name="표준 10" xfId="79" xr:uid="{00000000-0005-0000-0000-000064000000}"/>
    <cellStyle name="표준 11" xfId="80" xr:uid="{00000000-0005-0000-0000-000065000000}"/>
    <cellStyle name="표준 12" xfId="81" xr:uid="{00000000-0005-0000-0000-000066000000}"/>
    <cellStyle name="표준 13" xfId="142" xr:uid="{00000000-0005-0000-0000-000067000000}"/>
    <cellStyle name="표준 13 2" xfId="148" xr:uid="{00000000-0005-0000-0000-000068000000}"/>
    <cellStyle name="표준 13 3" xfId="150" xr:uid="{00000000-0005-0000-0000-000069000000}"/>
    <cellStyle name="표준 14" xfId="149" xr:uid="{00000000-0005-0000-0000-00006A000000}"/>
    <cellStyle name="표준 15" xfId="145" xr:uid="{00000000-0005-0000-0000-00006B000000}"/>
    <cellStyle name="표준 16" xfId="144" xr:uid="{00000000-0005-0000-0000-00006C000000}"/>
    <cellStyle name="표준 17" xfId="146" xr:uid="{00000000-0005-0000-0000-00006D000000}"/>
    <cellStyle name="표준 18" xfId="147" xr:uid="{00000000-0005-0000-0000-00006E000000}"/>
    <cellStyle name="표준 2" xfId="82" xr:uid="{00000000-0005-0000-0000-00006F000000}"/>
    <cellStyle name="표준 2 2" xfId="83" xr:uid="{00000000-0005-0000-0000-000070000000}"/>
    <cellStyle name="표준 2 2 2" xfId="84" xr:uid="{00000000-0005-0000-0000-000071000000}"/>
    <cellStyle name="표준 2 2 3" xfId="85" xr:uid="{00000000-0005-0000-0000-000072000000}"/>
    <cellStyle name="표준 2 3" xfId="86" xr:uid="{00000000-0005-0000-0000-000073000000}"/>
    <cellStyle name="표준 2 3 2" xfId="87" xr:uid="{00000000-0005-0000-0000-000074000000}"/>
    <cellStyle name="표준 2 4" xfId="88" xr:uid="{00000000-0005-0000-0000-000075000000}"/>
    <cellStyle name="표준 2_7.20 geltube외4종" xfId="89" xr:uid="{00000000-0005-0000-0000-000076000000}"/>
    <cellStyle name="표준 3" xfId="90" xr:uid="{00000000-0005-0000-0000-000077000000}"/>
    <cellStyle name="표준 3 2" xfId="91" xr:uid="{00000000-0005-0000-0000-000078000000}"/>
    <cellStyle name="표준 3 3" xfId="92" xr:uid="{00000000-0005-0000-0000-000079000000}"/>
    <cellStyle name="표준 35" xfId="93" xr:uid="{00000000-0005-0000-0000-00007A000000}"/>
    <cellStyle name="표준 36" xfId="94" xr:uid="{00000000-0005-0000-0000-00007B000000}"/>
    <cellStyle name="표준 37" xfId="95" xr:uid="{00000000-0005-0000-0000-00007C000000}"/>
    <cellStyle name="표준 38" xfId="96" xr:uid="{00000000-0005-0000-0000-00007D000000}"/>
    <cellStyle name="표준 39" xfId="97" xr:uid="{00000000-0005-0000-0000-00007E000000}"/>
    <cellStyle name="표준 4" xfId="98" xr:uid="{00000000-0005-0000-0000-00007F000000}"/>
    <cellStyle name="표준 4 2" xfId="99" xr:uid="{00000000-0005-0000-0000-000080000000}"/>
    <cellStyle name="표준 43" xfId="100" xr:uid="{00000000-0005-0000-0000-000081000000}"/>
    <cellStyle name="표준 46" xfId="101" xr:uid="{00000000-0005-0000-0000-000082000000}"/>
    <cellStyle name="표준 46 2" xfId="102" xr:uid="{00000000-0005-0000-0000-000083000000}"/>
    <cellStyle name="표준 47" xfId="103" xr:uid="{00000000-0005-0000-0000-000084000000}"/>
    <cellStyle name="표준 47 2" xfId="104" xr:uid="{00000000-0005-0000-0000-000085000000}"/>
    <cellStyle name="표준 5" xfId="105" xr:uid="{00000000-0005-0000-0000-000086000000}"/>
    <cellStyle name="표준 50" xfId="106" xr:uid="{00000000-0005-0000-0000-000087000000}"/>
    <cellStyle name="표준 53" xfId="107" xr:uid="{00000000-0005-0000-0000-000088000000}"/>
    <cellStyle name="표준 59" xfId="108" xr:uid="{00000000-0005-0000-0000-000089000000}"/>
    <cellStyle name="표준 6" xfId="109" xr:uid="{00000000-0005-0000-0000-00008A000000}"/>
    <cellStyle name="표준 60" xfId="110" xr:uid="{00000000-0005-0000-0000-00008B000000}"/>
    <cellStyle name="표준 7" xfId="111" xr:uid="{00000000-0005-0000-0000-00008C000000}"/>
    <cellStyle name="표준 8" xfId="112" xr:uid="{00000000-0005-0000-0000-00008D000000}"/>
    <cellStyle name="표준 9" xfId="113" xr:uid="{00000000-0005-0000-0000-00008E000000}"/>
    <cellStyle name="표준_시험·검사용 시약과 초자  기초금액 산출 명세서" xfId="114" xr:uid="{00000000-0005-0000-0000-00008F000000}"/>
    <cellStyle name="표준_호남대조리과학_광주과학견적서폼(1)_축산" xfId="115" xr:uid="{00000000-0005-0000-0000-000090000000}"/>
    <cellStyle name="하이퍼링크" xfId="143" builtinId="8"/>
    <cellStyle name="하이퍼링크 2" xfId="116" xr:uid="{00000000-0005-0000-0000-000092000000}"/>
    <cellStyle name="하이퍼링크 2 2" xfId="117" xr:uid="{00000000-0005-0000-0000-000093000000}"/>
    <cellStyle name="합산" xfId="118" xr:uid="{00000000-0005-0000-0000-000094000000}"/>
    <cellStyle name="화폐기호" xfId="119" xr:uid="{00000000-0005-0000-0000-000095000000}"/>
    <cellStyle name="화폐기호0" xfId="120" xr:uid="{00000000-0005-0000-0000-00009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2" name="그림 2" descr="sign.bmp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883" name="그림 2" descr="sign.bmp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01250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884" name="그림 2" descr="sign.bmp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6" name="그림 2" descr="sign.bmp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933450</xdr:colOff>
      <xdr:row>5</xdr:row>
      <xdr:rowOff>57150</xdr:rowOff>
    </xdr:to>
    <xdr:pic>
      <xdr:nvPicPr>
        <xdr:cNvPr id="8" name="그림 2" descr="sign.bmp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2514600"/>
          <a:ext cx="695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9" name="그림 2" descr="sign.bmp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5</xdr:row>
      <xdr:rowOff>104775</xdr:rowOff>
    </xdr:from>
    <xdr:to>
      <xdr:col>8</xdr:col>
      <xdr:colOff>130969</xdr:colOff>
      <xdr:row>5</xdr:row>
      <xdr:rowOff>104775</xdr:rowOff>
    </xdr:to>
    <xdr:pic>
      <xdr:nvPicPr>
        <xdr:cNvPr id="10" name="그림 2" descr="sign.bmp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96475" y="2562225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5</xdr:row>
      <xdr:rowOff>57150</xdr:rowOff>
    </xdr:from>
    <xdr:to>
      <xdr:col>7</xdr:col>
      <xdr:colOff>914400</xdr:colOff>
      <xdr:row>5</xdr:row>
      <xdr:rowOff>57150</xdr:rowOff>
    </xdr:to>
    <xdr:pic>
      <xdr:nvPicPr>
        <xdr:cNvPr id="11" name="그림 2" descr="sign.bmp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10775" y="2514600"/>
          <a:ext cx="676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50800</xdr:colOff>
      <xdr:row>5</xdr:row>
      <xdr:rowOff>177800</xdr:rowOff>
    </xdr:from>
    <xdr:to>
      <xdr:col>7</xdr:col>
      <xdr:colOff>1062831</xdr:colOff>
      <xdr:row>7</xdr:row>
      <xdr:rowOff>282230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E188A0-C7A8-4D9B-9CEE-32230DE4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0" y="2641600"/>
          <a:ext cx="1012031" cy="9680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51204;&#45224;&#49328;&#47548;&#54872;&#44221;\&#45812;&#50577;&#54868;&#54617;\Program%20Files\Microsoft%20Office\&#51060;&#44277;&#44284;&#54617;\&#44508;&#44201;&#49436;\&#53440;&#44508;&#44201;&#49436;\&#54028;&#47560;&#49884;&#5050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51204;&#45224;&#49328;&#47548;&#54872;&#44221;\Program%20Files\Microsoft%20Office\&#51060;&#44277;&#44284;&#54617;\&#44508;&#44201;&#49436;\&#53440;&#44508;&#44201;&#49436;\&#54028;&#47560;&#49884;&#5050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204;&#51201;&#49436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WORK\&#44288;&#44277;&#49436;\&#51204;&#45224;\&#51652;&#46039;&#44060;\60e&#51652;&#46039;&#4406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WORK\&#44288;&#44277;&#49436;\&#51204;&#45224;\&#47924;&#50504;&#49345;&#49688;&#46020;\U3010off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0;&#49457;&#54617;\&#50857;&#46020;\&#52488;&#510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in\&#50689;&#51116;&#44284;&#54617;&#51088;&#47308;\My%20Documents\RHT%202003\&#45824;&#54617;&#44368;\&#49692;&#52380;&#45824;\&#51312;&#48120;&#52292;&#49548;\&#45224;&#50896;&#44256;&#45257;&#51648;&#54868;&#55036;&#49884;&#54744;&#51109;\U30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p-2013120401\&#49436;&#47536;&#49324;&#51060;&#50616;&#49828;&#44277;&#50976;&#54260;&#45908;\My%20Documents\RHT%202003\&#45824;&#54617;&#44368;\&#49692;&#52380;&#45824;\&#51312;&#48120;&#52292;&#49548;\&#51204;&#45224;&#49328;&#47548;&#54872;&#44221;\&#45812;&#50577;&#54868;&#54617;\Program%20Files\Microsoft%20Office\&#51060;&#44277;&#44284;&#54617;\&#44508;&#44201;&#49436;\&#53440;&#44508;&#44201;&#49436;\&#54028;&#47560;&#49884;&#5050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oyjask\&#48148;&#53461;%20&#54868;&#47732;\&#47928;&#49436;\&#51221;&#48372;&#54868;\&#49688;&#46020;&#51333;&#54633;&#51221;&#48372;&#49884;&#49828;&#53596;\&#49548;&#44508;&#47784;&#49884;&#4944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정"/>
      <sheetName val="안내"/>
      <sheetName val="발신정보"/>
      <sheetName val="견적내용입력"/>
      <sheetName val="견적서"/>
      <sheetName val="견적서발급대장"/>
      <sheetName val="견적서세부내용"/>
    </sheetNames>
    <sheetDataSet>
      <sheetData sheetId="0"/>
      <sheetData sheetId="1"/>
      <sheetData sheetId="2">
        <row r="4">
          <cell r="C4" t="str">
            <v>마이크로소프트</v>
          </cell>
        </row>
        <row r="5">
          <cell r="C5">
            <v>1234567890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SS"/>
      <sheetName val="cp60e"/>
      <sheetName val="Cp60e-spec"/>
    </sheetNames>
    <sheetDataSet>
      <sheetData sheetId="0"/>
      <sheetData sheetId="1">
        <row r="1">
          <cell r="A1" t="str">
            <v/>
          </cell>
        </row>
        <row r="3">
          <cell r="A3" t="str">
            <v xml:space="preserve">   PART NO.</v>
          </cell>
          <cell r="D3" t="str">
            <v xml:space="preserve">               DESCRIPTION</v>
          </cell>
          <cell r="G3" t="str">
            <v xml:space="preserve">   Q'TY</v>
          </cell>
          <cell r="I3" t="str">
            <v xml:space="preserve">  U/PRICE</v>
          </cell>
          <cell r="J3" t="str">
            <v>TOTAL</v>
          </cell>
        </row>
        <row r="4">
          <cell r="J4" t="str">
            <v/>
          </cell>
        </row>
        <row r="5">
          <cell r="J5" t="str">
            <v/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견적서 (2)"/>
      <sheetName val="3010-1"/>
    </sheetNames>
    <sheetDataSet>
      <sheetData sheetId="0" refreshError="1"/>
      <sheetData sheetId="1" refreshError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99년 3월경"/>
      <sheetName val="99년_3월경"/>
      <sheetName val="상세내역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3010"/>
    </sheetNames>
    <sheetDataSet>
      <sheetData sheetId="0">
        <row r="6">
          <cell r="A6" t="str">
            <v>HSK Code No. : 9027.30.2000</v>
          </cell>
        </row>
        <row r="8">
          <cell r="A8" t="str">
            <v>High Performance  Double Beam</v>
          </cell>
        </row>
        <row r="9">
          <cell r="A9" t="str">
            <v>UV/VIS Spectrophotometer</v>
          </cell>
        </row>
        <row r="10">
          <cell r="A10" t="str">
            <v>Hitachi Model U-3010</v>
          </cell>
          <cell r="E10">
            <v>1</v>
          </cell>
          <cell r="F10" t="str">
            <v>set</v>
          </cell>
          <cell r="G10" t="str">
            <v/>
          </cell>
          <cell r="H10">
            <v>1580000</v>
          </cell>
        </row>
        <row r="11">
          <cell r="A11" t="str">
            <v>for 220 Volt, 60Hz</v>
          </cell>
        </row>
        <row r="12">
          <cell r="A12" t="str">
            <v>P/N : 130-0003</v>
          </cell>
        </row>
        <row r="15">
          <cell r="A15" t="str">
            <v>-</v>
          </cell>
          <cell r="B15" t="str">
            <v>Monochromator : High performance Seya-Namioka Mount using Hitachi</v>
          </cell>
        </row>
        <row r="16">
          <cell r="B16" t="str">
            <v xml:space="preserve">    high resolution mechanical ruled Aberration corrected concave</v>
          </cell>
        </row>
        <row r="17">
          <cell r="B17" t="str">
            <v xml:space="preserve">    diffraction grating</v>
          </cell>
        </row>
        <row r="18">
          <cell r="A18" t="str">
            <v>-</v>
          </cell>
          <cell r="B18" t="str">
            <v>Wavelength range  : 190 - 900nm</v>
          </cell>
        </row>
        <row r="19">
          <cell r="A19" t="str">
            <v>-</v>
          </cell>
          <cell r="B19" t="str">
            <v>Stray light level : Less than 0.015%T</v>
          </cell>
        </row>
        <row r="20">
          <cell r="A20" t="str">
            <v>-</v>
          </cell>
          <cell r="B20" t="str">
            <v>Spectral Bandpass : 0.1, 0.5, 1, 2, 4, 5nm</v>
          </cell>
        </row>
        <row r="21">
          <cell r="A21" t="str">
            <v>-</v>
          </cell>
          <cell r="B21" t="str">
            <v>Built in Automatic wavelength calibration and Auto Start Function</v>
          </cell>
        </row>
        <row r="22">
          <cell r="A22" t="str">
            <v>-</v>
          </cell>
          <cell r="B22" t="str">
            <v>Built in Full complement quantitative measurement and Calculation Function</v>
          </cell>
        </row>
        <row r="23">
          <cell r="A23" t="str">
            <v>-</v>
          </cell>
          <cell r="B23" t="str">
            <v>Built in S/N user selectable function and File conversion Function</v>
          </cell>
        </row>
        <row r="24">
          <cell r="A24" t="str">
            <v>-</v>
          </cell>
          <cell r="B24" t="str">
            <v>Built in Cell length automatic conversion Function</v>
          </cell>
        </row>
        <row r="25">
          <cell r="A25" t="str">
            <v>-</v>
          </cell>
          <cell r="B25" t="str">
            <v>Built in Micro focusing optical system</v>
          </cell>
        </row>
        <row r="26">
          <cell r="A26" t="str">
            <v>-</v>
          </cell>
          <cell r="B26" t="str">
            <v>Built in Baseline Memory Function by 3ch (System 2ch, user 1ch)</v>
          </cell>
        </row>
        <row r="27">
          <cell r="A27" t="str">
            <v>-</v>
          </cell>
          <cell r="B27" t="str">
            <v>Built in Differential Feed back method function</v>
          </cell>
        </row>
        <row r="28">
          <cell r="A28" t="str">
            <v>-</v>
          </cell>
          <cell r="B28" t="str">
            <v>Built in High performance R928 photomultiplier Detector</v>
          </cell>
        </row>
        <row r="29">
          <cell r="A29" t="str">
            <v>-</v>
          </cell>
          <cell r="B29" t="str">
            <v>Photometric Mode : Abs, %T, %R, E(S), E(R)</v>
          </cell>
        </row>
        <row r="30">
          <cell r="A30" t="str">
            <v>-</v>
          </cell>
          <cell r="B30" t="str">
            <v>Photometric range :  Abs ; -2.0 to 3.0 Abs,   %T ; 0 to 300%T</v>
          </cell>
        </row>
        <row r="31">
          <cell r="A31" t="str">
            <v>-</v>
          </cell>
          <cell r="B31" t="str">
            <v>Baseline stability : ±0.0004 Abs/h (at 340nm)</v>
          </cell>
        </row>
        <row r="34">
          <cell r="A34" t="str">
            <v>Standard Equipment :</v>
          </cell>
        </row>
        <row r="36">
          <cell r="A36" t="str">
            <v>o</v>
          </cell>
          <cell r="B36" t="str">
            <v xml:space="preserve">U-3010 Main Spectrophotometer               </v>
          </cell>
          <cell r="E36">
            <v>1</v>
          </cell>
          <cell r="F36" t="str">
            <v>set</v>
          </cell>
        </row>
        <row r="37">
          <cell r="A37" t="str">
            <v>o</v>
          </cell>
          <cell r="B37" t="str">
            <v>Tool kit (screwdrivers, etc.)</v>
          </cell>
          <cell r="E37">
            <v>1</v>
          </cell>
          <cell r="F37" t="str">
            <v>set</v>
          </cell>
        </row>
        <row r="38">
          <cell r="A38" t="str">
            <v>o</v>
          </cell>
          <cell r="B38" t="str">
            <v xml:space="preserve">Instruction manual                                      </v>
          </cell>
          <cell r="E38">
            <v>1</v>
          </cell>
          <cell r="F38" t="str">
            <v>copy</v>
          </cell>
        </row>
        <row r="39">
          <cell r="A39" t="str">
            <v>o</v>
          </cell>
          <cell r="B39" t="str">
            <v>Standard operation software for U-3010</v>
          </cell>
          <cell r="E39">
            <v>1</v>
          </cell>
          <cell r="F39" t="str">
            <v>ea</v>
          </cell>
        </row>
        <row r="40">
          <cell r="A40" t="str">
            <v>o</v>
          </cell>
          <cell r="B40" t="str">
            <v>D2 Lamp</v>
          </cell>
          <cell r="E40">
            <v>1</v>
          </cell>
          <cell r="F40" t="str">
            <v>ea</v>
          </cell>
        </row>
        <row r="41">
          <cell r="A41" t="str">
            <v>o</v>
          </cell>
          <cell r="B41" t="str">
            <v>WI Lamp</v>
          </cell>
          <cell r="E41">
            <v>1</v>
          </cell>
          <cell r="F41" t="str">
            <v>ea</v>
          </cell>
        </row>
        <row r="44">
          <cell r="A44" t="str">
            <v>Accessories :</v>
          </cell>
        </row>
        <row r="46">
          <cell r="A46" t="str">
            <v>1.</v>
          </cell>
          <cell r="B46" t="str">
            <v>130-0600</v>
          </cell>
          <cell r="C46" t="str">
            <v>Sample sipper</v>
          </cell>
          <cell r="E46">
            <v>1</v>
          </cell>
          <cell r="F46" t="str">
            <v>ea</v>
          </cell>
          <cell r="H46">
            <v>250000</v>
          </cell>
        </row>
        <row r="47">
          <cell r="A47" t="str">
            <v>2.</v>
          </cell>
          <cell r="B47" t="str">
            <v>210-2110</v>
          </cell>
          <cell r="C47" t="str">
            <v>5-position turret cell holder</v>
          </cell>
          <cell r="E47">
            <v>1</v>
          </cell>
          <cell r="F47" t="str">
            <v>ea</v>
          </cell>
          <cell r="H47">
            <v>120000</v>
          </cell>
        </row>
        <row r="48">
          <cell r="A48" t="str">
            <v>3.</v>
          </cell>
          <cell r="B48" t="str">
            <v>885-1200</v>
          </cell>
          <cell r="C48" t="str">
            <v>Iodinetungsten Lamp</v>
          </cell>
          <cell r="E48">
            <v>1</v>
          </cell>
          <cell r="F48" t="str">
            <v>ea</v>
          </cell>
          <cell r="H48">
            <v>3700</v>
          </cell>
        </row>
        <row r="49">
          <cell r="A49" t="str">
            <v>4.</v>
          </cell>
          <cell r="B49" t="str">
            <v>239-0354</v>
          </cell>
          <cell r="C49" t="str">
            <v>Deutrium Lamp</v>
          </cell>
          <cell r="E49">
            <v>1</v>
          </cell>
          <cell r="F49" t="str">
            <v>ea</v>
          </cell>
          <cell r="H49">
            <v>45500</v>
          </cell>
        </row>
        <row r="50">
          <cell r="A50" t="str">
            <v/>
          </cell>
        </row>
        <row r="51">
          <cell r="E51" t="str">
            <v>Total</v>
          </cell>
          <cell r="F51" t="str">
            <v>--------------------------</v>
          </cell>
          <cell r="H51">
            <v>1999200</v>
          </cell>
        </row>
        <row r="55">
          <cell r="A55" t="str">
            <v>Local Supply Items :</v>
          </cell>
        </row>
        <row r="57">
          <cell r="A57" t="str">
            <v>1.</v>
          </cell>
          <cell r="B57" t="str">
            <v>Data system</v>
          </cell>
          <cell r="E57">
            <v>1</v>
          </cell>
          <cell r="F57" t="str">
            <v>system</v>
          </cell>
          <cell r="H57">
            <v>3000000</v>
          </cell>
        </row>
        <row r="58">
          <cell r="B58" t="str">
            <v>Consists of :</v>
          </cell>
        </row>
        <row r="59">
          <cell r="B59" t="str">
            <v>1) IBM Compatible Personal Computer</v>
          </cell>
          <cell r="E59">
            <v>1</v>
          </cell>
          <cell r="F59" t="str">
            <v>set</v>
          </cell>
        </row>
        <row r="60">
          <cell r="B60" t="str">
            <v xml:space="preserve">    o CPU : Pentium, 166 MHz</v>
          </cell>
        </row>
        <row r="61">
          <cell r="B61" t="str">
            <v xml:space="preserve">    o Memory : 32 MB</v>
          </cell>
        </row>
        <row r="62">
          <cell r="B62" t="str">
            <v xml:space="preserve">    o HDD : 1.2 GB</v>
          </cell>
        </row>
        <row r="63">
          <cell r="B63" t="str">
            <v xml:space="preserve">    o FDD : 3.5 inch</v>
          </cell>
        </row>
        <row r="64">
          <cell r="B64" t="str">
            <v xml:space="preserve">    o 15 inch Color SVGA Monitor</v>
          </cell>
        </row>
        <row r="65">
          <cell r="B65" t="str">
            <v xml:space="preserve">    o 2 RS-232C ports &amp; 1 parallel port</v>
          </cell>
        </row>
        <row r="66">
          <cell r="B66" t="str">
            <v xml:space="preserve">    o Mouse and Keyboard</v>
          </cell>
        </row>
        <row r="67">
          <cell r="B67" t="str">
            <v xml:space="preserve">    o MS-Windows 95</v>
          </cell>
        </row>
        <row r="68">
          <cell r="B68" t="str">
            <v>2) Ink Jet color printer</v>
          </cell>
          <cell r="E68">
            <v>1</v>
          </cell>
          <cell r="F68" t="str">
            <v/>
          </cell>
        </row>
        <row r="70">
          <cell r="A70" t="str">
            <v>2.</v>
          </cell>
          <cell r="B70" t="str">
            <v>10mm Quartz cell</v>
          </cell>
          <cell r="E70">
            <v>4</v>
          </cell>
          <cell r="F70" t="str">
            <v>ea</v>
          </cell>
          <cell r="G70">
            <v>100000</v>
          </cell>
          <cell r="H70">
            <v>400000</v>
          </cell>
        </row>
        <row r="71">
          <cell r="A71" t="str">
            <v/>
          </cell>
        </row>
        <row r="72">
          <cell r="E72" t="str">
            <v>Total F.O.B Japanese Airport</v>
          </cell>
          <cell r="F72" t="str">
            <v>--------------------------</v>
          </cell>
          <cell r="H72">
            <v>1999200</v>
          </cell>
        </row>
        <row r="73">
          <cell r="G73" t="str">
            <v>+</v>
          </cell>
          <cell r="H73">
            <v>3400000</v>
          </cell>
        </row>
        <row r="76">
          <cell r="A76" t="str">
            <v>Remarks :</v>
          </cell>
        </row>
        <row r="78">
          <cell r="A78" t="str">
            <v>1.</v>
          </cell>
          <cell r="B78" t="str">
            <v>Warranty : 1 year after Installation</v>
          </cell>
        </row>
        <row r="80">
          <cell r="A80" t="str">
            <v>2.</v>
          </cell>
          <cell r="B80" t="str">
            <v xml:space="preserve">Installation &amp; operation : </v>
          </cell>
        </row>
        <row r="81">
          <cell r="B81" t="str">
            <v xml:space="preserve">  Will be executed by factory trained engineer</v>
          </cell>
        </row>
        <row r="82">
          <cell r="B82" t="str">
            <v xml:space="preserve">  free of charge.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08HC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수장"/>
      <sheetName val="마을상수도"/>
      <sheetName val="소규모급수시설"/>
      <sheetName val="전용상수도"/>
      <sheetName val="Sheet5"/>
    </sheetNames>
    <sheetDataSet>
      <sheetData sheetId="0"/>
      <sheetData sheetId="1"/>
      <sheetData sheetId="2"/>
      <sheetData sheetId="3"/>
      <sheetData sheetId="4">
        <row r="1">
          <cell r="A1" t="str">
            <v>지방</v>
          </cell>
          <cell r="B1" t="str">
            <v>사용</v>
          </cell>
        </row>
        <row r="2">
          <cell r="A2" t="str">
            <v>광역</v>
          </cell>
          <cell r="B2" t="str">
            <v>미사용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8"/>
  <sheetViews>
    <sheetView tabSelected="1" view="pageBreakPreview" zoomScale="75" zoomScaleNormal="75" zoomScaleSheetLayoutView="75" workbookViewId="0">
      <selection activeCell="B18" sqref="B18"/>
    </sheetView>
  </sheetViews>
  <sheetFormatPr defaultRowHeight="10.5"/>
  <cols>
    <col min="1" max="1" width="9.77734375" style="2" customWidth="1"/>
    <col min="2" max="2" width="30.44140625" style="3" customWidth="1"/>
    <col min="3" max="3" width="20" style="4" customWidth="1"/>
    <col min="4" max="5" width="7.21875" style="2" customWidth="1"/>
    <col min="6" max="6" width="11.109375" style="1" customWidth="1"/>
    <col min="7" max="7" width="13.109375" style="1" customWidth="1"/>
    <col min="8" max="8" width="12.88671875" style="1" customWidth="1"/>
    <col min="9" max="16384" width="8.88671875" style="1"/>
  </cols>
  <sheetData>
    <row r="1" spans="1:8" ht="75" customHeight="1">
      <c r="A1" s="47" t="s">
        <v>22</v>
      </c>
      <c r="B1" s="47"/>
      <c r="C1" s="47"/>
      <c r="D1" s="47"/>
      <c r="E1" s="47"/>
      <c r="F1" s="47"/>
      <c r="G1" s="47"/>
      <c r="H1" s="47"/>
    </row>
    <row r="2" spans="1:8" ht="17.25" customHeight="1">
      <c r="A2" s="5"/>
      <c r="B2" s="5"/>
      <c r="C2" s="5"/>
      <c r="D2" s="5"/>
      <c r="E2" s="5"/>
    </row>
    <row r="3" spans="1:8" ht="33.75" customHeight="1">
      <c r="A3" s="35" t="s">
        <v>21</v>
      </c>
      <c r="B3" s="36">
        <v>46289</v>
      </c>
      <c r="C3" s="10"/>
      <c r="D3" s="53" t="s">
        <v>12</v>
      </c>
      <c r="E3" s="54"/>
      <c r="F3" s="55" t="s">
        <v>13</v>
      </c>
      <c r="G3" s="55"/>
      <c r="H3" s="56"/>
    </row>
    <row r="4" spans="1:8" ht="33.75" customHeight="1">
      <c r="A4" s="37"/>
      <c r="B4" s="63" t="inlineStr">
        <is>
          <t xml:space="preserve">전남대학교 산학협력단</t>
        </is>
      </c>
      <c r="C4" s="64"/>
      <c r="D4" s="53" t="s">
        <v>14</v>
      </c>
      <c r="E4" s="54"/>
      <c r="F4" s="55" t="s">
        <v>15</v>
      </c>
      <c r="G4" s="55"/>
      <c r="H4" s="56"/>
    </row>
    <row r="5" spans="1:8" ht="33.75" customHeight="1">
      <c r="A5" s="38" t="s">
        <v>8</v>
      </c>
      <c r="B5" s="65"/>
      <c r="C5" s="66"/>
      <c r="D5" s="53" t="s">
        <v>16</v>
      </c>
      <c r="E5" s="54"/>
      <c r="F5" s="57" t="s">
        <v>28</v>
      </c>
      <c r="G5" s="57"/>
      <c r="H5" s="58"/>
    </row>
    <row r="6" spans="1:8" ht="33.75" customHeight="1">
      <c r="A6" s="39"/>
      <c r="B6" s="67"/>
      <c r="C6" s="68"/>
      <c r="D6" s="94" t="s">
        <v>17</v>
      </c>
      <c r="E6" s="94"/>
      <c r="F6" s="95" t="s">
        <v>25</v>
      </c>
      <c r="G6" s="56"/>
      <c r="H6" s="50"/>
    </row>
    <row r="7" spans="1:8" ht="33.75" customHeight="1">
      <c r="A7" s="10"/>
      <c r="B7" s="10"/>
      <c r="C7" s="21"/>
      <c r="D7" s="94" t="s">
        <v>18</v>
      </c>
      <c r="E7" s="94"/>
      <c r="F7" s="95" t="s">
        <v>26</v>
      </c>
      <c r="G7" s="56"/>
      <c r="H7" s="51"/>
    </row>
    <row r="8" spans="1:8" ht="33.75" customHeight="1">
      <c r="A8" s="10"/>
      <c r="B8" s="10"/>
      <c r="C8" s="10"/>
      <c r="D8" s="94"/>
      <c r="E8" s="94"/>
      <c r="F8" s="70"/>
      <c r="G8" s="71"/>
      <c r="H8" s="52"/>
    </row>
    <row r="9" spans="1:8" ht="7.5" customHeight="1">
      <c r="A9" s="5"/>
      <c r="B9" s="5"/>
      <c r="C9" s="5"/>
      <c r="D9" s="6"/>
      <c r="E9" s="6"/>
      <c r="F9" s="6"/>
      <c r="G9" s="6"/>
      <c r="H9" s="7"/>
    </row>
    <row r="10" spans="1:8" s="8" customFormat="1" ht="22.5" customHeight="1">
      <c r="A10" s="48" t="s">
        <v>23</v>
      </c>
      <c r="B10" s="48"/>
      <c r="C10" s="48"/>
      <c r="D10" s="48"/>
      <c r="E10" s="48"/>
    </row>
    <row r="11" spans="1:8" s="8" customFormat="1" ht="11.25" customHeight="1">
      <c r="A11" s="17"/>
      <c r="B11" s="17"/>
      <c r="C11" s="17"/>
      <c r="D11" s="17"/>
      <c r="E11" s="6"/>
    </row>
    <row r="12" spans="1:8" s="8" customFormat="1" ht="44.25" customHeight="1">
      <c r="A12" s="20" t="s">
        <v>24</v>
      </c>
      <c r="B12" s="60">
        <f>+D12</f>
        <v>1492810</v>
      </c>
      <c r="C12" s="61"/>
      <c r="D12" s="59">
        <f>+F24</f>
        <v>1492810</v>
      </c>
      <c r="E12" s="59"/>
      <c r="F12" s="59"/>
      <c r="G12" s="59"/>
      <c r="H12" s="59"/>
    </row>
    <row r="13" spans="1:8" s="16" customFormat="1" ht="11.25" customHeight="1">
      <c r="A13" s="62"/>
      <c r="B13" s="62"/>
      <c r="C13" s="62"/>
      <c r="D13" s="62"/>
      <c r="E13" s="62"/>
      <c r="F13" s="62"/>
      <c r="G13" s="62"/>
      <c r="H13" s="62"/>
    </row>
    <row r="14" spans="1:8" ht="24" customHeight="1">
      <c r="A14" s="69" t="s">
        <v>9</v>
      </c>
      <c r="B14" s="69" t="s">
        <v>0</v>
      </c>
      <c r="C14" s="69" t="s">
        <v>1</v>
      </c>
      <c r="D14" s="69" t="s">
        <v>2</v>
      </c>
      <c r="E14" s="69" t="s">
        <v>10</v>
      </c>
      <c r="F14" s="49" t="s">
        <v>11</v>
      </c>
      <c r="G14" s="49" t="s">
        <v>19</v>
      </c>
      <c r="H14" s="49" t="s">
        <v>20</v>
      </c>
    </row>
    <row r="15" spans="1:8" ht="24" customHeight="1">
      <c r="A15" s="69"/>
      <c r="B15" s="69"/>
      <c r="C15" s="69"/>
      <c r="D15" s="69"/>
      <c r="E15" s="69"/>
      <c r="F15" s="49"/>
      <c r="G15" s="49"/>
      <c r="H15" s="49"/>
    </row>
    <row r="16" spans="1:8" s="2" customFormat="1" ht="39" customHeight="1">
      <c r="A16" s="26">
        <v>1</v>
      </c>
      <c r="B16" s="42" t="inlineStr">
        <is>
          <t xml:space="preserve">Malonyl coenzyme A lithium salt [25M]</t>
        </is>
      </c>
      <c r="C16" s="32" t="inlineStr">
        <is>
          <t xml:space="preserve">M4263-25MG</t>
        </is>
      </c>
      <c r="D16" s="40" t="inlineStr">
        <is>
          <t xml:space="preserve">EA</t>
        </is>
      </c>
      <c r="E16" s="41">
        <v>1</v>
      </c>
      <c r="F16" s="45">
        <v>980100</v>
      </c>
      <c r="G16" s="33">
        <f>F16*E16</f>
        <v>980100</v>
      </c>
      <c r="H16" s="92" t="s">
        <v>30</v>
      </c>
    </row>
    <row r="17" spans="1:10" s="2" customFormat="1" ht="39" customHeight="1">
      <c r="A17" s="26">
        <v>2</v>
      </c>
      <c r="B17" s="43" t="inlineStr">
        <is>
          <t xml:space="preserve">3-Hydroxypropionic Acid [10G]</t>
        </is>
      </c>
      <c r="C17" s="34" t="inlineStr">
        <is>
          <t xml:space="preserve">H0297</t>
        </is>
      </c>
      <c r="D17" s="40" t="inlineStr">
        <is>
          <t xml:space="preserve">EA</t>
        </is>
      </c>
      <c r="E17" s="41">
        <v>1</v>
      </c>
      <c r="F17" s="45">
        <v>318010</v>
      </c>
      <c r="G17" s="33">
        <f>F17*E17</f>
        <v>318010</v>
      </c>
      <c r="H17" s="93"/>
    </row>
    <row r="18" spans="1:10" s="2" customFormat="1" ht="39" customHeight="1">
      <c r="A18" s="26">
        <v>3</v>
      </c>
      <c r="B18" s="44" t="inlineStr">
        <is>
          <t xml:space="preserve">Riboflavin, 98%</t>
        </is>
      </c>
      <c r="C18" s="32" t="inlineStr">
        <is>
          <t xml:space="preserve">A11764.22</t>
        </is>
      </c>
      <c r="D18" s="40" t="inlineStr">
        <is>
          <t xml:space="preserve">EA</t>
        </is>
      </c>
      <c r="E18" s="46">
        <v>1</v>
      </c>
      <c r="F18" s="45">
        <v>122100</v>
      </c>
      <c r="G18" s="33">
        <f>F18*E18</f>
        <v>122100</v>
      </c>
      <c r="H18" s="93"/>
    </row>
    <row r="19" spans="1:10" s="2" customFormat="1" ht="39" customHeight="1">
      <c r="A19" s="26">
        <v>4</v>
      </c>
      <c r="B19" s="44" t="inlineStr">
        <is>
          <t xml:space="preserve">Trifluoroacetic acid 99%, HPLC, 100mL</t>
        </is>
      </c>
      <c r="C19" s="32" t="inlineStr">
        <is>
          <t xml:space="preserve">8558-2340</t>
        </is>
      </c>
      <c r="D19" s="40" t="inlineStr">
        <is>
          <t xml:space="preserve">EA</t>
        </is>
      </c>
      <c r="E19" s="46">
        <v>1</v>
      </c>
      <c r="F19" s="45">
        <v>72600</v>
      </c>
      <c r="G19" s="33">
        <f>F19*E19</f>
        <v>72600</v>
      </c>
      <c r="H19" s="96"/>
    </row>
    <row r="20" spans="1:10" s="2" customFormat="1" ht="39" customHeight="1">
      <c r="A20" s="30"/>
      <c r="B20" s="31"/>
      <c r="C20" s="28"/>
      <c r="D20" s="28"/>
      <c r="E20" s="28"/>
      <c r="F20" s="29"/>
      <c r="G20" s="33"/>
      <c r="H20" s="27"/>
    </row>
    <row r="21" spans="1:10" s="2" customFormat="1" ht="39" customHeight="1">
      <c r="A21" s="23"/>
      <c r="B21" s="19"/>
      <c r="C21" s="19"/>
      <c r="D21" s="19"/>
      <c r="E21" s="19"/>
      <c r="F21" s="24"/>
      <c r="G21" s="24"/>
      <c r="H21" s="25"/>
      <c r="I21" s="1"/>
      <c r="J21" s="1"/>
    </row>
    <row r="22" spans="1:10" s="2" customFormat="1" ht="41.25" customHeight="1">
      <c r="A22" s="12"/>
      <c r="B22" s="12"/>
      <c r="C22" s="12"/>
      <c r="D22" s="11"/>
      <c r="E22" s="22" t="s">
        <v>3</v>
      </c>
      <c r="F22" s="83">
        <f>SUM(G16:G20)</f>
        <v>1492810</v>
      </c>
      <c r="G22" s="84"/>
      <c r="H22" s="85"/>
      <c r="I22" s="1"/>
      <c r="J22" s="1"/>
    </row>
    <row r="23" spans="1:10" s="2" customFormat="1" ht="41.25" customHeight="1">
      <c r="A23" s="9" t="s">
        <v>4</v>
      </c>
      <c r="B23" s="9" t="s">
        <v>27</v>
      </c>
      <c r="C23" s="6"/>
      <c r="D23" s="13"/>
      <c r="E23" s="18" t="s">
        <v>5</v>
      </c>
      <c r="F23" s="86" t="s">
        <v>30</v>
      </c>
      <c r="G23" s="87"/>
      <c r="H23" s="88"/>
      <c r="I23" s="1"/>
      <c r="J23" s="1"/>
    </row>
    <row r="24" spans="1:10" s="2" customFormat="1" ht="41.25" customHeight="1">
      <c r="A24" s="9"/>
      <c r="B24" s="9"/>
      <c r="C24" s="6"/>
      <c r="D24" s="13"/>
      <c r="E24" s="18" t="s">
        <v>6</v>
      </c>
      <c r="F24" s="89">
        <f>F22</f>
        <v>1492810</v>
      </c>
      <c r="G24" s="90"/>
      <c r="H24" s="91"/>
      <c r="I24" s="1"/>
      <c r="J24" s="1"/>
    </row>
    <row r="25" spans="1:10" ht="16.5" customHeight="1" thickBot="1">
      <c r="A25" s="13"/>
      <c r="B25" s="14"/>
      <c r="C25" s="15"/>
      <c r="D25" s="13"/>
      <c r="E25" s="13"/>
      <c r="F25" s="16"/>
      <c r="G25" s="16"/>
      <c r="H25" s="16"/>
    </row>
    <row r="26" spans="1:10" ht="27.75" customHeight="1">
      <c r="A26" s="72" t="s">
        <v>7</v>
      </c>
      <c r="B26" s="74"/>
      <c r="C26" s="75"/>
      <c r="D26" s="75"/>
      <c r="E26" s="75"/>
      <c r="F26" s="75"/>
      <c r="G26" s="75"/>
      <c r="H26" s="76"/>
    </row>
    <row r="27" spans="1:10" ht="27.75" customHeight="1">
      <c r="A27" s="73"/>
      <c r="B27" s="77"/>
      <c r="C27" s="78"/>
      <c r="D27" s="78"/>
      <c r="E27" s="78"/>
      <c r="F27" s="78"/>
      <c r="G27" s="78"/>
      <c r="H27" s="79"/>
    </row>
    <row r="28" spans="1:10" ht="27.75" customHeight="1">
      <c r="A28" s="73"/>
      <c r="B28" s="77"/>
      <c r="C28" s="78"/>
      <c r="D28" s="78"/>
      <c r="E28" s="78"/>
      <c r="F28" s="78"/>
      <c r="G28" s="78"/>
      <c r="H28" s="79"/>
    </row>
    <row r="29" spans="1:10" ht="14.25" customHeight="1" thickBot="1">
      <c r="A29" s="73"/>
      <c r="B29" s="80"/>
      <c r="C29" s="81"/>
      <c r="D29" s="81"/>
      <c r="E29" s="81"/>
      <c r="F29" s="81"/>
      <c r="G29" s="81"/>
      <c r="H29" s="82"/>
    </row>
    <row r="30" spans="1:10" ht="27.75" customHeight="1"/>
    <row r="31" spans="1:10" ht="27.75" customHeight="1"/>
    <row r="32" spans="1:10" ht="27.75" customHeight="1"/>
    <row r="33" ht="27.75" customHeight="1"/>
    <row r="34" ht="27.75" customHeight="1"/>
    <row r="35" ht="27.75" customHeight="1"/>
    <row r="36" ht="27.75" customHeight="1"/>
    <row r="37" ht="27.75" customHeight="1"/>
    <row r="38" ht="27.75" customHeight="1"/>
    <row r="39" ht="27.75" customHeight="1"/>
    <row r="40" ht="27.75" customHeight="1"/>
    <row r="41" ht="27.75" customHeight="1"/>
    <row r="42" ht="27.75" customHeight="1"/>
    <row r="43" ht="27.75" customHeight="1"/>
    <row r="44" ht="27.75" customHeight="1"/>
    <row r="45" ht="27.75" customHeight="1"/>
    <row r="46" ht="27.75" customHeight="1"/>
    <row r="47" ht="27.75" customHeight="1"/>
    <row r="48" ht="27.75" customHeight="1"/>
  </sheetData>
  <mergeCells count="33">
    <mergeCell ref="D5:E5"/>
    <mergeCell ref="D7:E7"/>
    <mergeCell ref="D6:E6"/>
    <mergeCell ref="D8:E8"/>
    <mergeCell ref="F6:G6"/>
    <mergeCell ref="F7:G7"/>
    <mergeCell ref="A26:A29"/>
    <mergeCell ref="B26:H29"/>
    <mergeCell ref="E14:E15"/>
    <mergeCell ref="D14:D15"/>
    <mergeCell ref="C14:C15"/>
    <mergeCell ref="B14:B15"/>
    <mergeCell ref="F22:H22"/>
    <mergeCell ref="F23:H23"/>
    <mergeCell ref="F24:H24"/>
    <mergeCell ref="G14:G15"/>
    <mergeCell ref="H16:H18"/>
    <mergeCell ref="A1:H1"/>
    <mergeCell ref="A10:E10"/>
    <mergeCell ref="F14:F15"/>
    <mergeCell ref="H14:H15"/>
    <mergeCell ref="H6:H8"/>
    <mergeCell ref="D3:E3"/>
    <mergeCell ref="F3:H3"/>
    <mergeCell ref="F4:H4"/>
    <mergeCell ref="F5:H5"/>
    <mergeCell ref="D12:H12"/>
    <mergeCell ref="B12:C12"/>
    <mergeCell ref="A13:H13"/>
    <mergeCell ref="B4:C6"/>
    <mergeCell ref="D4:E4"/>
    <mergeCell ref="A14:A15"/>
    <mergeCell ref="F8:G8"/>
  </mergeCells>
  <phoneticPr fontId="8" type="noConversion"/>
  <pageMargins left="0.47" right="0.16" top="0.43307086614173229" bottom="0.51181102362204722" header="0.47244094488188981" footer="0.51181102362204722"/>
  <pageSetup paperSize="9" scale="75" fitToHeight="0" orientation="portrait" r:id="rId1"/>
  <headerFooter alignWithMargins="0"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</vt:lpstr>
      <vt:lpstr>견적서!Print_Area</vt:lpstr>
      <vt:lpstr>견적서!Print_Titles</vt:lpstr>
    </vt:vector>
  </TitlesOfParts>
  <Company>Extra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XPuser</dc:creator>
  <cp:lastModifiedBy>세환</cp:lastModifiedBy>
  <cp:lastPrinted>2021-11-11T08:42:08Z</cp:lastPrinted>
  <dcterms:created xsi:type="dcterms:W3CDTF">2008-02-12T02:33:53Z</dcterms:created>
  <dcterms:modified xsi:type="dcterms:W3CDTF">2026-10-01T08:50:18Z</dcterms:modified>
</cp:coreProperties>
</file>