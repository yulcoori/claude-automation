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externalReferences>
    <externalReference r:id="rId4"/>
    <externalReference r:id="rId5"/>
    <externalReference r:id="rId6"/>
  </externalReferences>
  <definedNames>
    <definedName function="false" hidden="false" localSheetId="0" name="_xlnm.Print_Area" vbProcedure="false">견적서!$A$1:$H$29</definedName>
    <definedName function="false" hidden="false" localSheetId="0" name="_xlnm.Print_Titles" vbProcedure="false">견적서!$25:$33</definedName>
    <definedName function="false" hidden="false" name="a" vbProcedure="false">'[2]1008hc'!#ref!</definedName>
    <definedName function="false" hidden="false" name="Nis" vbProcedure="false">[3]cp60e!$A$1:$IV$5</definedName>
    <definedName function="false" hidden="false" name="Print_Area_MI" vbProcedure="false">'[5]3010-1'!#ref!</definedName>
    <definedName function="false" hidden="false" name="print_title" vbProcedure="false">'[6]99년 3월경'!#ref!</definedName>
    <definedName function="false" hidden="false" name="PRINT_TITLES_MI" vbProcedure="false">#REF!</definedName>
    <definedName function="false" hidden="false" name="q" vbProcedure="false">[6]U3010!$A$6:$H$82</definedName>
    <definedName function="false" hidden="false" name="\S" vbProcedure="false">'[1]1008hc'!#ref!</definedName>
    <definedName function="false" hidden="false" name="광주" vbProcedure="false">'[8]1008hc'!#ref!</definedName>
    <definedName function="false" hidden="false" name="구분" vbProcedure="false">[8]Sheet5!$A$1:$A$2</definedName>
    <definedName function="false" hidden="false" name="사용구분" vbProcedure="false">[8]Sheet5!$B$1:$B$2</definedName>
    <definedName function="false" hidden="false" localSheetId="0" name="a" vbProcedure="false">'[2]1008hc'!#ref!</definedName>
    <definedName function="false" hidden="false" localSheetId="0" name="Print_Area_MI" vbProcedure="false">'[5]3010-1'!#ref!</definedName>
    <definedName function="false" hidden="false" localSheetId="0" name="print_title" vbProcedure="false">'[6]99년 3월경'!#ref!</definedName>
    <definedName function="false" hidden="false" localSheetId="0" name="\S" vbProcedure="false">'[1]1008hc'!#ref!</definedName>
    <definedName function="false" hidden="false" localSheetId="0" name="광주" vbProcedure="false">'[8]1008hc'!#ref!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<sst xmlns="http://schemas.openxmlformats.org/spreadsheetml/2006/main" count="43" uniqueCount="41">
  <si>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거래명세서</t>
  </si>
  <si>
    <r>
      <rPr>
        <b val="true"/>
        <sz val="11"/>
        <rFont val="WenQuanYi Zen Hei"/>
        <family val="2"/>
      </rPr>
      <t xml:space="preserve">일  자 </t>
    </r>
    <r>
      <rPr>
        <b val="true"/>
        <sz val="11"/>
        <rFont val="굴림"/>
        <family val="3"/>
        <charset val="129"/>
      </rPr>
      <t xml:space="preserve">:</t>
    </r>
  </si>
  <si>
    <t xml:space="preserve">상      호</t>
  </si>
  <si>
    <t xml:space="preserve">바이오필</t>
  </si>
  <si>
    <t xml:space="preserve">전남대학교 산학협력단</t>
  </si>
  <si>
    <t xml:space="preserve">등록번호</t>
  </si>
  <si>
    <t xml:space="preserve">402-02-63826</t>
  </si>
  <si>
    <r>
      <rPr>
        <b val="true"/>
        <sz val="20"/>
        <rFont val="WenQuanYi Zen Hei"/>
        <family val="2"/>
      </rPr>
      <t xml:space="preserve">수신 </t>
    </r>
    <r>
      <rPr>
        <b val="true"/>
        <sz val="20"/>
        <rFont val="굴림"/>
        <family val="3"/>
        <charset val="129"/>
      </rPr>
      <t xml:space="preserve">: </t>
    </r>
  </si>
  <si>
    <t xml:space="preserve">사 업 장</t>
  </si>
  <si>
    <r>
      <rPr>
        <sz val="11"/>
        <rFont val="WenQuanYi Zen Hei"/>
        <family val="2"/>
      </rPr>
      <t xml:space="preserve">전남광주통합특별시 순천시 덕연로 </t>
    </r>
    <r>
      <rPr>
        <sz val="11"/>
        <rFont val="굴림"/>
        <family val="3"/>
        <charset val="129"/>
      </rPr>
      <t xml:space="preserve">68 </t>
    </r>
  </si>
  <si>
    <t xml:space="preserve">대 표 자</t>
  </si>
  <si>
    <t xml:space="preserve">이세환</t>
  </si>
  <si>
    <t xml:space="preserve">전화번호</t>
  </si>
  <si>
    <t xml:space="preserve">010-2470-2771</t>
  </si>
  <si>
    <t xml:space="preserve">금  액 </t>
  </si>
  <si>
    <t xml:space="preserve">번호</t>
  </si>
  <si>
    <t xml:space="preserve">품명</t>
  </si>
  <si>
    <t xml:space="preserve">규격</t>
  </si>
  <si>
    <t xml:space="preserve">단위</t>
  </si>
  <si>
    <t xml:space="preserve">수량</t>
  </si>
  <si>
    <t xml:space="preserve">단가</t>
  </si>
  <si>
    <t xml:space="preserve">공급가액</t>
  </si>
  <si>
    <t xml:space="preserve">세액</t>
  </si>
  <si>
    <t xml:space="preserve">Amicon Ultra-15</t>
  </si>
  <si>
    <t xml:space="preserve">UFC901024</t>
  </si>
  <si>
    <t xml:space="preserve">EA</t>
  </si>
  <si>
    <t xml:space="preserve">부가세 포함</t>
  </si>
  <si>
    <t xml:space="preserve">Quick-DNA Fungal/Bacterial Kit 50Preps</t>
  </si>
  <si>
    <t xml:space="preserve">D6005</t>
  </si>
  <si>
    <t xml:space="preserve">Fisher Water HPLC GRADE 4L [4EA/BOX]</t>
  </si>
  <si>
    <t xml:space="preserve">W5-4</t>
  </si>
  <si>
    <t xml:space="preserve">BOX</t>
  </si>
  <si>
    <t xml:space="preserve">Red PTFE/white silicone septa, blue, screw cap, 2ml, 100/pk</t>
  </si>
  <si>
    <t xml:space="preserve">CTC-0952RB</t>
  </si>
  <si>
    <t xml:space="preserve">PK</t>
  </si>
  <si>
    <t xml:space="preserve">소   계</t>
  </si>
  <si>
    <t xml:space="preserve">담당</t>
  </si>
  <si>
    <t xml:space="preserve">  고객지원팀</t>
  </si>
  <si>
    <t xml:space="preserve">V A T</t>
  </si>
  <si>
    <t xml:space="preserve">합  계</t>
  </si>
  <si>
    <t xml:space="preserve">특이
사항  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</si>
</sst>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0.00"/>
    <numFmt numFmtId="170" formatCode="&quot;R$&quot;#,##0.00;&quot;R$-&quot;#,##0.00"/>
    <numFmt numFmtId="171" formatCode="General_)"/>
    <numFmt numFmtId="172" formatCode="@"/>
    <numFmt numFmtId="173" formatCode="_(* #,##0_);_(* \(#,##0\);_(* \-_);_(@_)"/>
    <numFmt numFmtId="174" formatCode="#,##0.00"/>
    <numFmt numFmtId="175" formatCode="#,##0_);[RED]\(#,##0\)"/>
    <numFmt numFmtId="176" formatCode="_(\$* #,##0_);_(\$* \(#,##0\);_(\$* \-_);_(@_)"/>
    <numFmt numFmtId="177" formatCode="\₩#,##0"/>
    <numFmt numFmtId="178" formatCode="yyyy&quot;년 &quot;m&quot;월 &quot;d\일;@"/>
    <numFmt numFmtId="179" formatCode="[$-1000409]&quot;일금&quot;[$-412]General&quot;원정&quot;"/>
    <numFmt numFmtId="180" formatCode="_-\₩* #,##0_-;&quot;-₩&quot;* #,##0_-;_-\₩* \-_-;_-@_-"/>
    <numFmt numFmtId="181" formatCode="0_);[RED]\(0\)"/>
    <numFmt numFmtId="182" formatCode="_-* #,##0_-;\-* #,##0_-;_-* \-_-;_-@_-"/>
    <numFmt numFmtId="183" formatCode="#,##0"/>
    <numFmt numFmtId="184" formatCode="#,##0_ "/>
  </numFmts>
  <fonts count="4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color rgb="FFFFFFFF"/>
      <name val="Arial"/>
      <family val="2"/>
      <charset val="1"/>
    </font>
    <font>
      <b val="true"/>
      <sz val="10"/>
      <name val="MS Sans Serif"/>
      <family val="2"/>
      <charset val="1"/>
    </font>
    <font>
      <b val="true"/>
      <sz val="18"/>
      <name val="Arial"/>
      <family val="2"/>
      <charset val="1"/>
    </font>
    <font>
      <sz val="10"/>
      <name val="Times New Roman"/>
      <family val="1"/>
      <charset val="1"/>
    </font>
    <font>
      <sz val="12"/>
      <name val="바탕체"/>
      <family val="1"/>
      <charset val="129"/>
    </font>
    <font>
      <b val="true"/>
      <sz val="1"/>
      <color rgb="FF000000"/>
      <name val="Courier New"/>
      <family val="3"/>
      <charset val="1"/>
    </font>
    <font>
      <sz val="11"/>
      <name val="HY신명조"/>
      <family val="1"/>
      <charset val="129"/>
    </font>
    <font>
      <sz val="1"/>
      <color rgb="FF000000"/>
      <name val="Courier New"/>
      <family val="3"/>
      <charset val="1"/>
    </font>
    <font>
      <sz val="12"/>
      <name val="돋움체"/>
      <family val="3"/>
      <charset val="129"/>
    </font>
    <font>
      <b val="true"/>
      <sz val="12"/>
      <color rgb="FF800000"/>
      <name val="굴림체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u val="single"/>
      <sz val="10"/>
      <color rgb="FF0000FF"/>
      <name val="Arial"/>
      <family val="2"/>
      <charset val="1"/>
    </font>
    <font>
      <sz val="8"/>
      <name val="돋움"/>
      <family val="3"/>
      <charset val="129"/>
    </font>
    <font>
      <b val="true"/>
      <u val="double"/>
      <sz val="40"/>
      <name val="WenQuanYi Zen Hei"/>
      <family val="2"/>
    </font>
    <font>
      <b val="true"/>
      <sz val="26"/>
      <name val="HY헤드라인M"/>
      <family val="1"/>
      <charset val="129"/>
    </font>
    <font>
      <b val="true"/>
      <sz val="11"/>
      <name val="WenQuanYi Zen Hei"/>
      <family val="2"/>
    </font>
    <font>
      <b val="true"/>
      <sz val="11"/>
      <name val="굴림"/>
      <family val="3"/>
      <charset val="129"/>
    </font>
    <font>
      <b val="true"/>
      <sz val="14"/>
      <name val="굴림"/>
      <family val="3"/>
      <charset val="129"/>
    </font>
    <font>
      <b val="true"/>
      <sz val="14"/>
      <name val="WenQuanYi Zen Hei"/>
      <family val="2"/>
    </font>
    <font>
      <sz val="12"/>
      <name val="WenQuanYi Zen Hei"/>
      <family val="2"/>
    </font>
    <font>
      <b val="true"/>
      <sz val="20"/>
      <name val="굴림"/>
      <family val="3"/>
      <charset val="129"/>
    </font>
    <font>
      <b val="true"/>
      <sz val="20"/>
      <name val="WenQuanYi Zen Hei"/>
      <family val="2"/>
    </font>
    <font>
      <sz val="12"/>
      <name val="굴림"/>
      <family val="3"/>
      <charset val="129"/>
    </font>
    <font>
      <sz val="11"/>
      <name val="WenQuanYi Zen Hei"/>
      <family val="2"/>
    </font>
    <font>
      <sz val="11"/>
      <name val="굴림"/>
      <family val="3"/>
      <charset val="129"/>
    </font>
    <font>
      <sz val="14"/>
      <name val="굴림"/>
      <family val="3"/>
      <charset val="129"/>
    </font>
    <font>
      <u val="single"/>
      <sz val="11"/>
      <color theme="10"/>
      <name val="돋움"/>
      <family val="3"/>
      <charset val="129"/>
    </font>
    <font>
      <b val="true"/>
      <sz val="18"/>
      <name val="굴림"/>
      <family val="3"/>
      <charset val="129"/>
    </font>
    <font>
      <b val="true"/>
      <sz val="12"/>
      <name val="WenQuanYi Zen Hei"/>
      <family val="2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WenQuanYi Zen Hei"/>
      <family val="2"/>
    </font>
    <font>
      <sz val="11"/>
      <name val="맑은 고딕"/>
      <family val="3"/>
      <charset val="129"/>
    </font>
    <font>
      <b val="true"/>
      <sz val="11"/>
      <name val="돋움"/>
      <family val="3"/>
      <charset val="129"/>
    </font>
    <font>
      <b val="true"/>
      <sz val="12"/>
      <name val="굴림"/>
      <family val="3"/>
      <charset val="129"/>
    </font>
    <font>
      <sz val="14"/>
      <name val="WenQuanYi Zen Hei"/>
      <family val="2"/>
    </font>
    <font>
      <sz val="12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1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5" fillId="0" borderId="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27" fillId="0" borderId="0" xfId="121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26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" xfId="1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0" borderId="7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6" xfId="121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0" borderId="8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9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1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7" fillId="0" borderId="5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30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" borderId="5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1" fontId="38" fillId="4" borderId="5" xfId="1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9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0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4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2" fillId="5" borderId="12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83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4" fillId="0" borderId="13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14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4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5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3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8" fillId="0" borderId="9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35" fillId="0" borderId="16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6" fillId="0" borderId="5" xfId="1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7" fillId="0" borderId="18" xfId="121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1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Date" xfId="30"/>
    <cellStyle name="Fixed" xfId="31"/>
    <cellStyle name="Header1" xfId="32"/>
    <cellStyle name="Header2" xfId="33"/>
    <cellStyle name="Heading 2 5" xfId="34"/>
    <cellStyle name="Heading 3" xfId="35"/>
    <cellStyle name="Heading 4" xfId="36"/>
    <cellStyle name="HEADING1" xfId="37"/>
    <cellStyle name="HEADING2" xfId="38"/>
    <cellStyle name="Line Items" xfId="39"/>
    <cellStyle name="Normal_ SG&amp;A Bridge " xfId="40"/>
    <cellStyle name="Total" xfId="41"/>
    <cellStyle name="咬訌裝?INCOM1" xfId="42"/>
    <cellStyle name="咬訌裝?INCOM10" xfId="43"/>
    <cellStyle name="咬訌裝?INCOM2" xfId="44"/>
    <cellStyle name="咬訌裝?INCOM3" xfId="45"/>
    <cellStyle name="咬訌裝?INCOM4" xfId="46"/>
    <cellStyle name="咬訌裝?INCOM5" xfId="47"/>
    <cellStyle name="咬訌裝?INCOM6" xfId="48"/>
    <cellStyle name="咬訌裝?INCOM7" xfId="49"/>
    <cellStyle name="咬訌裝?INCOM8" xfId="50"/>
    <cellStyle name="咬訌裝?INCOM9" xfId="51"/>
    <cellStyle name="咬訌裝?PRIB11" xfId="52"/>
    <cellStyle name="고정소숫점" xfId="53"/>
    <cellStyle name="고정출력1" xfId="54"/>
    <cellStyle name="고정출력2" xfId="55"/>
    <cellStyle name="과정별배정" xfId="56"/>
    <cellStyle name="날짜" xfId="57"/>
    <cellStyle name="달러" xfId="58"/>
    <cellStyle name="뷭?_AA-6800" xfId="59"/>
    <cellStyle name="수거검정" xfId="60"/>
    <cellStyle name="숫자(R)" xfId="61"/>
    <cellStyle name="쉼표 [0] 2" xfId="62"/>
    <cellStyle name="쉼표 [0] 2 2" xfId="63"/>
    <cellStyle name="쉼표 [0] 2 2 2" xfId="64"/>
    <cellStyle name="쉼표 [0] 2 3" xfId="65"/>
    <cellStyle name="쉼표 [0] 3" xfId="66"/>
    <cellStyle name="쉼표 [0] 4" xfId="67"/>
    <cellStyle name="스타일 1" xfId="68"/>
    <cellStyle name="자리수" xfId="69"/>
    <cellStyle name="자리수0" xfId="70"/>
    <cellStyle name="콤마 [0]_(type)총괄" xfId="71"/>
    <cellStyle name="콤마_(type)총괄" xfId="72"/>
    <cellStyle name="통화 [0] 2" xfId="73"/>
    <cellStyle name="통화 [0] 2 2" xfId="74"/>
    <cellStyle name="통화 [0] 3" xfId="75"/>
    <cellStyle name="통화 [0] 4" xfId="76"/>
    <cellStyle name="퍼센트" xfId="77"/>
    <cellStyle name="표준 10" xfId="78"/>
    <cellStyle name="표준 11" xfId="79"/>
    <cellStyle name="표준 12" xfId="80"/>
    <cellStyle name="표준 13" xfId="81"/>
    <cellStyle name="표준 13 2" xfId="82"/>
    <cellStyle name="표준 13 3" xfId="83"/>
    <cellStyle name="표준 14" xfId="84"/>
    <cellStyle name="표준 15" xfId="85"/>
    <cellStyle name="표준 16" xfId="86"/>
    <cellStyle name="표준 17" xfId="87"/>
    <cellStyle name="표준 18" xfId="88"/>
    <cellStyle name="표준 2" xfId="89"/>
    <cellStyle name="표준 2 2" xfId="90"/>
    <cellStyle name="표준 2 2 2" xfId="91"/>
    <cellStyle name="표준 2 2 3" xfId="92"/>
    <cellStyle name="표준 2 3" xfId="93"/>
    <cellStyle name="표준 2 3 2" xfId="94"/>
    <cellStyle name="표준 2 4" xfId="95"/>
    <cellStyle name="표준 2_7.20 geltube외4종" xfId="96"/>
    <cellStyle name="표준 3" xfId="97"/>
    <cellStyle name="표준 3 2" xfId="98"/>
    <cellStyle name="표준 3 3" xfId="99"/>
    <cellStyle name="표준 35" xfId="100"/>
    <cellStyle name="표준 36" xfId="101"/>
    <cellStyle name="표준 37" xfId="102"/>
    <cellStyle name="표준 38" xfId="103"/>
    <cellStyle name="표준 39" xfId="104"/>
    <cellStyle name="표준 4" xfId="105"/>
    <cellStyle name="표준 4 2" xfId="106"/>
    <cellStyle name="표준 43" xfId="107"/>
    <cellStyle name="표준 46" xfId="108"/>
    <cellStyle name="표준 46 2" xfId="109"/>
    <cellStyle name="표준 47" xfId="110"/>
    <cellStyle name="표준 47 2" xfId="111"/>
    <cellStyle name="표준 5" xfId="112"/>
    <cellStyle name="표준 50" xfId="113"/>
    <cellStyle name="표준 53" xfId="114"/>
    <cellStyle name="표준 59" xfId="115"/>
    <cellStyle name="표준 6" xfId="116"/>
    <cellStyle name="표준 60" xfId="117"/>
    <cellStyle name="표준 7" xfId="118"/>
    <cellStyle name="표준 8" xfId="119"/>
    <cellStyle name="표준 9" xfId="120"/>
    <cellStyle name="표준_시험·검사용 시약과 초자  기초금액 산출 명세서" xfId="121"/>
    <cellStyle name="표준_호남대조리과학_광주과학견적서폼(1)_축산" xfId="122"/>
    <cellStyle name="하이퍼링크 2" xfId="123"/>
    <cellStyle name="하이퍼링크 2 2" xfId="124"/>
    <cellStyle name="합산" xfId="125"/>
    <cellStyle name="화폐기호" xfId="126"/>
    <cellStyle name="화폐기호0" xfId="127"/>
    <cellStyle name="*unknown*" xfId="20" builtinId="8"/>
    <cellStyle name="Excel Built-in Comma [0]" xfId="1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0" name="그림 2" descr="sign.bmp"/>
        <xdr:cNvPicPr/>
      </xdr:nvPicPr>
      <xdr:blipFill>
        <a:blip r:embed="rId1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1" name="그림 2" descr="sign.bmp"/>
        <xdr:cNvPicPr/>
      </xdr:nvPicPr>
      <xdr:blipFill>
        <a:blip r:embed="rId2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2" name="그림 2" descr="sign.bmp"/>
        <xdr:cNvPicPr/>
      </xdr:nvPicPr>
      <xdr:blipFill>
        <a:blip r:embed="rId3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3" name="그림 2" descr="sign.bmp"/>
        <xdr:cNvPicPr/>
      </xdr:nvPicPr>
      <xdr:blipFill>
        <a:blip r:embed="rId4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4" name="그림 2" descr="sign.bmp"/>
        <xdr:cNvPicPr/>
      </xdr:nvPicPr>
      <xdr:blipFill>
        <a:blip r:embed="rId5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5" name="그림 2" descr="sign.bmp"/>
        <xdr:cNvPicPr/>
      </xdr:nvPicPr>
      <xdr:blipFill>
        <a:blip r:embed="rId6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6" name="그림 2" descr="sign.bmp"/>
        <xdr:cNvPicPr/>
      </xdr:nvPicPr>
      <xdr:blipFill>
        <a:blip r:embed="rId7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7" name="그림 2" descr="sign.bmp"/>
        <xdr:cNvPicPr/>
      </xdr:nvPicPr>
      <xdr:blipFill>
        <a:blip r:embed="rId8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50760</xdr:colOff>
      <xdr:row>5</xdr:row>
      <xdr:rowOff>177840</xdr:rowOff>
    </xdr:from>
    <xdr:to>
      <xdr:col>7</xdr:col>
      <xdr:colOff>1062360</xdr:colOff>
      <xdr:row>7</xdr:row>
      <xdr:rowOff>281880</xdr:rowOff>
    </xdr:to>
    <xdr:pic>
      <xdr:nvPicPr>
        <xdr:cNvPr id="8" name="그림 1" descr=""/>
        <xdr:cNvPicPr/>
      </xdr:nvPicPr>
      <xdr:blipFill>
        <a:blip r:embed="rId9"/>
        <a:stretch/>
      </xdr:blipFill>
      <xdr:spPr>
        <a:xfrm>
          <a:off x="8966880" y="2635200"/>
          <a:ext cx="101160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WORK/&#44288;&#44277;&#49436;/&#51204;&#45224;/&#51652;&#46039;&#44060;/60e&#51652;&#46039;&#44060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&#45224;&#50896;&#44256;&#45257;&#51648;&#54868;&#55036;&#49884;&#54744;&#51109;/U3010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F:/Documents%20and%20Settings/oyjask/&#48148;&#53461;%20&#54868;&#47732;/&#47928;&#49436;/&#51221;&#48372;&#54868;/&#49688;&#46020;&#51333;&#54633;&#51221;&#48372;&#49884;&#49828;&#53596;/&#49548;&#44508;&#47784;&#49884;&#4944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3010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75" zoomScalePageLayoutView="100" workbookViewId="0">
      <selection pane="topLeft" activeCell="B4" activeCellId="0" sqref="B4"/>
    </sheetView>
  </sheetViews>
  <sheetFormatPr defaultColWidth="8.890625" defaultRowHeight="10.5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2" width="30.44"/>
    <col collapsed="false" customWidth="true" hidden="false" outlineLevel="0" max="3" min="3" style="3" width="20"/>
    <col collapsed="false" customWidth="true" hidden="false" outlineLevel="0" max="5" min="4" style="1" width="7.22"/>
    <col collapsed="false" customWidth="true" hidden="false" outlineLevel="0" max="6" min="6" style="4" width="11.11"/>
    <col collapsed="false" customWidth="true" hidden="false" outlineLevel="0" max="7" min="7" style="4" width="13.11"/>
    <col collapsed="false" customWidth="true" hidden="false" outlineLevel="0" max="8" min="8" style="4" width="12.89"/>
    <col collapsed="false" customWidth="false" hidden="false" outlineLevel="0" max="16384" min="9" style="4" width="8.89"/>
  </cols>
  <sheetData>
    <row r="1" customFormat="false" ht="7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7.25" hidden="false" customHeight="true" outlineLevel="0" collapsed="false">
      <c r="A2" s="6"/>
      <c r="B2" s="6"/>
      <c r="C2" s="6"/>
      <c r="D2" s="6"/>
      <c r="E2" s="6"/>
    </row>
    <row r="3" customFormat="false" ht="33.75" hidden="false" customHeight="true" outlineLevel="0" collapsed="false">
      <c r="A3" s="7" t="s">
        <v>1</v>
      </c>
      <c r="B3" s="8" t="n">
        <v>46296</v>
      </c>
      <c r="C3" s="9"/>
      <c r="D3" s="10" t="s">
        <v>2</v>
      </c>
      <c r="E3" s="10"/>
      <c r="F3" s="11" t="s">
        <v>3</v>
      </c>
      <c r="G3" s="11"/>
      <c r="H3" s="11"/>
    </row>
    <row r="4" customFormat="false" ht="33.75" hidden="false" customHeight="true" outlineLevel="0" collapsed="false">
      <c r="A4" s="12"/>
      <c r="B4" s="13" t="s">
        <v>4</v>
      </c>
      <c r="C4" s="13"/>
      <c r="D4" s="10" t="s">
        <v>5</v>
      </c>
      <c r="E4" s="10"/>
      <c r="F4" s="14" t="s">
        <v>6</v>
      </c>
      <c r="G4" s="14"/>
      <c r="H4" s="14"/>
    </row>
    <row r="5" customFormat="false" ht="33.75" hidden="false" customHeight="true" outlineLevel="0" collapsed="false">
      <c r="A5" s="15" t="s">
        <v>7</v>
      </c>
      <c r="B5" s="13"/>
      <c r="C5" s="13"/>
      <c r="D5" s="10" t="s">
        <v>8</v>
      </c>
      <c r="E5" s="10"/>
      <c r="F5" s="16" t="s">
        <v>9</v>
      </c>
      <c r="G5" s="16"/>
      <c r="H5" s="16"/>
    </row>
    <row r="6" customFormat="false" ht="33.75" hidden="false" customHeight="true" outlineLevel="0" collapsed="false">
      <c r="A6" s="17"/>
      <c r="B6" s="13"/>
      <c r="C6" s="13"/>
      <c r="D6" s="10" t="s">
        <v>10</v>
      </c>
      <c r="E6" s="10"/>
      <c r="F6" s="18" t="s">
        <v>11</v>
      </c>
      <c r="G6" s="18"/>
      <c r="H6" s="19"/>
    </row>
    <row r="7" customFormat="false" ht="33.75" hidden="false" customHeight="true" outlineLevel="0" collapsed="false">
      <c r="A7" s="9"/>
      <c r="B7" s="9"/>
      <c r="C7" s="20"/>
      <c r="D7" s="10" t="s">
        <v>12</v>
      </c>
      <c r="E7" s="10"/>
      <c r="F7" s="21" t="s">
        <v>13</v>
      </c>
      <c r="G7" s="21"/>
      <c r="H7" s="19"/>
    </row>
    <row r="8" customFormat="false" ht="33.75" hidden="false" customHeight="true" outlineLevel="0" collapsed="false">
      <c r="A8" s="9"/>
      <c r="B8" s="9"/>
      <c r="C8" s="9"/>
      <c r="D8" s="10"/>
      <c r="E8" s="10"/>
      <c r="F8" s="22"/>
      <c r="G8" s="22"/>
      <c r="H8" s="19"/>
    </row>
    <row r="9" customFormat="false" ht="7.5" hidden="false" customHeight="true" outlineLevel="0" collapsed="false">
      <c r="A9" s="6"/>
      <c r="B9" s="6"/>
      <c r="C9" s="6"/>
      <c r="D9" s="23"/>
      <c r="E9" s="23"/>
      <c r="F9" s="23"/>
      <c r="G9" s="23"/>
      <c r="H9" s="24"/>
    </row>
    <row r="10" s="26" customFormat="true" ht="22.5" hidden="false" customHeight="true" outlineLevel="0" collapsed="false">
      <c r="A10" s="25"/>
      <c r="B10" s="25"/>
      <c r="C10" s="25"/>
      <c r="D10" s="25"/>
      <c r="E10" s="25"/>
    </row>
    <row r="11" s="26" customFormat="true" ht="11.25" hidden="false" customHeight="true" outlineLevel="0" collapsed="false">
      <c r="A11" s="27"/>
      <c r="B11" s="27"/>
      <c r="C11" s="27"/>
      <c r="D11" s="27"/>
      <c r="E11" s="23"/>
    </row>
    <row r="12" s="26" customFormat="true" ht="44.25" hidden="false" customHeight="true" outlineLevel="0" collapsed="false">
      <c r="A12" s="28" t="s">
        <v>14</v>
      </c>
      <c r="B12" s="29" t="n">
        <f aca="false">+D12</f>
        <v>1368510</v>
      </c>
      <c r="C12" s="29"/>
      <c r="D12" s="30" t="n">
        <f aca="false">+F24</f>
        <v>1368510</v>
      </c>
      <c r="E12" s="30"/>
      <c r="F12" s="30"/>
      <c r="G12" s="30"/>
      <c r="H12" s="30"/>
    </row>
    <row r="13" s="32" customFormat="true" ht="11.2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</row>
    <row r="14" customFormat="false" ht="24" hidden="false" customHeight="true" outlineLevel="0" collapsed="false">
      <c r="A14" s="33" t="s">
        <v>15</v>
      </c>
      <c r="B14" s="33" t="s">
        <v>16</v>
      </c>
      <c r="C14" s="33" t="s">
        <v>17</v>
      </c>
      <c r="D14" s="33" t="s">
        <v>18</v>
      </c>
      <c r="E14" s="33" t="s">
        <v>19</v>
      </c>
      <c r="F14" s="34" t="s">
        <v>20</v>
      </c>
      <c r="G14" s="34" t="s">
        <v>21</v>
      </c>
      <c r="H14" s="34" t="s">
        <v>22</v>
      </c>
    </row>
    <row r="15" customFormat="false" ht="24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</row>
    <row r="16" s="1" customFormat="true" ht="39" hidden="false" customHeight="true" outlineLevel="0" collapsed="false">
      <c r="A16" s="35" t="n">
        <v>1</v>
      </c>
      <c r="B16" s="36" t="s">
        <v>23</v>
      </c>
      <c r="C16" s="37" t="s">
        <v>24</v>
      </c>
      <c r="D16" s="38" t="s">
        <v>25</v>
      </c>
      <c r="E16" s="39" t="n">
        <v>1</v>
      </c>
      <c r="F16" s="40" t="n">
        <v>649000</v>
      </c>
      <c r="G16" s="41" t="n">
        <f aca="false">F16*E16</f>
        <v>649000</v>
      </c>
      <c r="H16" s="42" t="s">
        <v>26</v>
      </c>
    </row>
    <row r="17" s="1" customFormat="true" ht="39" hidden="false" customHeight="true" outlineLevel="0" collapsed="false">
      <c r="A17" s="35" t="n">
        <v>2</v>
      </c>
      <c r="B17" s="43" t="s">
        <v>27</v>
      </c>
      <c r="C17" s="44" t="s">
        <v>28</v>
      </c>
      <c r="D17" s="38" t="s">
        <v>25</v>
      </c>
      <c r="E17" s="39" t="n">
        <v>1</v>
      </c>
      <c r="F17" s="40" t="n">
        <v>388410</v>
      </c>
      <c r="G17" s="41" t="n">
        <f aca="false">F17*E17</f>
        <v>388410</v>
      </c>
      <c r="H17" s="42"/>
    </row>
    <row r="18" s="1" customFormat="true" ht="39" hidden="false" customHeight="true" outlineLevel="0" collapsed="false">
      <c r="A18" s="35" t="n">
        <v>3</v>
      </c>
      <c r="B18" s="45" t="s">
        <v>29</v>
      </c>
      <c r="C18" s="37" t="s">
        <v>30</v>
      </c>
      <c r="D18" s="38" t="s">
        <v>31</v>
      </c>
      <c r="E18" s="46" t="n">
        <v>2</v>
      </c>
      <c r="F18" s="40" t="n">
        <v>91300</v>
      </c>
      <c r="G18" s="41" t="n">
        <f aca="false">F18*E18</f>
        <v>182600</v>
      </c>
      <c r="H18" s="42"/>
    </row>
    <row r="19" s="1" customFormat="true" ht="39" hidden="false" customHeight="true" outlineLevel="0" collapsed="false">
      <c r="A19" s="35" t="n">
        <v>4</v>
      </c>
      <c r="B19" s="45" t="s">
        <v>32</v>
      </c>
      <c r="C19" s="37" t="s">
        <v>33</v>
      </c>
      <c r="D19" s="38" t="s">
        <v>34</v>
      </c>
      <c r="E19" s="46" t="n">
        <v>10</v>
      </c>
      <c r="F19" s="40" t="n">
        <v>14850</v>
      </c>
      <c r="G19" s="41" t="n">
        <f aca="false">F19*E19</f>
        <v>148500</v>
      </c>
      <c r="H19" s="47"/>
    </row>
    <row r="20" s="1" customFormat="true" ht="39" hidden="false" customHeight="true" outlineLevel="0" collapsed="false">
      <c r="A20" s="48"/>
      <c r="B20" s="49"/>
      <c r="C20" s="50"/>
      <c r="D20" s="50"/>
      <c r="E20" s="50"/>
      <c r="F20" s="51"/>
      <c r="G20" s="41"/>
      <c r="H20" s="52"/>
    </row>
    <row r="21" s="1" customFormat="true" ht="39" hidden="false" customHeight="true" outlineLevel="0" collapsed="false">
      <c r="A21" s="53"/>
      <c r="B21" s="54"/>
      <c r="C21" s="54"/>
      <c r="D21" s="54"/>
      <c r="E21" s="54"/>
      <c r="F21" s="55"/>
      <c r="G21" s="55"/>
      <c r="H21" s="56"/>
      <c r="I21" s="4"/>
      <c r="J21" s="4"/>
      <c r="K21" s="4"/>
    </row>
    <row r="22" s="1" customFormat="true" ht="36" hidden="false" customHeight="true" outlineLevel="0" collapsed="false">
      <c r="A22" s="57"/>
      <c r="B22" s="57"/>
      <c r="C22" s="57"/>
      <c r="D22" s="58"/>
      <c r="E22" s="59" t="s">
        <v>35</v>
      </c>
      <c r="F22" s="60" t="n">
        <f aca="false">SUM(G16:G20)</f>
        <v>1368510</v>
      </c>
      <c r="G22" s="60"/>
      <c r="H22" s="60"/>
      <c r="I22" s="4"/>
      <c r="J22" s="4"/>
      <c r="K22" s="4"/>
    </row>
    <row r="23" s="1" customFormat="true" ht="36" hidden="false" customHeight="true" outlineLevel="0" collapsed="false">
      <c r="A23" s="61" t="s">
        <v>36</v>
      </c>
      <c r="B23" s="61" t="s">
        <v>37</v>
      </c>
      <c r="C23" s="23"/>
      <c r="D23" s="62"/>
      <c r="E23" s="63" t="s">
        <v>38</v>
      </c>
      <c r="F23" s="64" t="s">
        <v>26</v>
      </c>
      <c r="G23" s="64"/>
      <c r="H23" s="64"/>
      <c r="I23" s="4"/>
      <c r="J23" s="4"/>
      <c r="K23" s="4"/>
    </row>
    <row r="24" s="1" customFormat="true" ht="36" hidden="false" customHeight="true" outlineLevel="0" collapsed="false">
      <c r="A24" s="61"/>
      <c r="B24" s="61"/>
      <c r="C24" s="23"/>
      <c r="D24" s="62"/>
      <c r="E24" s="65" t="s">
        <v>39</v>
      </c>
      <c r="F24" s="66" t="n">
        <f aca="false">F22</f>
        <v>1368510</v>
      </c>
      <c r="G24" s="66"/>
      <c r="H24" s="66"/>
      <c r="I24" s="4"/>
      <c r="J24" s="4"/>
      <c r="K24" s="4"/>
    </row>
    <row r="25" customFormat="false" ht="16.5" hidden="false" customHeight="true" outlineLevel="0" collapsed="false">
      <c r="A25" s="62"/>
      <c r="B25" s="67"/>
      <c r="C25" s="68"/>
      <c r="D25" s="62"/>
      <c r="E25" s="62"/>
      <c r="F25" s="32"/>
      <c r="G25" s="32"/>
      <c r="H25" s="32"/>
    </row>
    <row r="26" customFormat="false" ht="27.75" hidden="false" customHeight="true" outlineLevel="0" collapsed="false">
      <c r="A26" s="69" t="s">
        <v>40</v>
      </c>
      <c r="B26" s="70"/>
      <c r="C26" s="70"/>
      <c r="D26" s="70"/>
      <c r="E26" s="70"/>
      <c r="F26" s="70"/>
      <c r="G26" s="70"/>
      <c r="H26" s="70"/>
    </row>
    <row r="27" customFormat="false" ht="27.75" hidden="false" customHeight="true" outlineLevel="0" collapsed="false">
      <c r="A27" s="69"/>
      <c r="B27" s="70"/>
      <c r="C27" s="70"/>
      <c r="D27" s="70"/>
      <c r="E27" s="70"/>
      <c r="F27" s="70"/>
      <c r="G27" s="70"/>
      <c r="H27" s="70"/>
    </row>
    <row r="28" customFormat="false" ht="27.75" hidden="false" customHeight="true" outlineLevel="0" collapsed="false">
      <c r="A28" s="69"/>
      <c r="B28" s="70"/>
      <c r="C28" s="70"/>
      <c r="D28" s="70"/>
      <c r="E28" s="70"/>
      <c r="F28" s="70"/>
      <c r="G28" s="70"/>
      <c r="H28" s="70"/>
    </row>
    <row r="29" customFormat="false" ht="14.25" hidden="false" customHeight="true" outlineLevel="0" collapsed="false">
      <c r="A29" s="69"/>
      <c r="B29" s="70"/>
      <c r="C29" s="70"/>
      <c r="D29" s="70"/>
      <c r="E29" s="70"/>
      <c r="F29" s="70"/>
      <c r="G29" s="70"/>
      <c r="H29" s="70"/>
    </row>
    <row r="30" customFormat="false" ht="27.75" hidden="false" customHeight="true" outlineLevel="0" collapsed="false"/>
    <row r="31" customFormat="false" ht="27.75" hidden="false" customHeight="true" outlineLevel="0" collapsed="false"/>
    <row r="32" customFormat="false" ht="27.75" hidden="false" customHeight="true" outlineLevel="0" collapsed="false"/>
    <row r="33" customFormat="false" ht="27.75" hidden="false" customHeight="true" outlineLevel="0" collapsed="false"/>
    <row r="34" customFormat="false" ht="27.75" hidden="false" customHeight="true" outlineLevel="0" collapsed="false"/>
    <row r="35" customFormat="false" ht="27.75" hidden="false" customHeight="true" outlineLevel="0" collapsed="false"/>
    <row r="36" customFormat="false" ht="27.75" hidden="false" customHeight="true" outlineLevel="0" collapsed="false"/>
    <row r="37" customFormat="false" ht="27.75" hidden="false" customHeight="true" outlineLevel="0" collapsed="false"/>
    <row r="38" customFormat="false" ht="27.75" hidden="false" customHeight="true" outlineLevel="0" collapsed="false"/>
    <row r="39" customFormat="false" ht="27.75" hidden="false" customHeight="true" outlineLevel="0" collapsed="false"/>
    <row r="40" customFormat="false" ht="27.75" hidden="false" customHeight="true" outlineLevel="0" collapsed="false"/>
    <row r="41" customFormat="false" ht="27.75" hidden="false" customHeight="true" outlineLevel="0" collapsed="false"/>
    <row r="42" customFormat="false" ht="27.75" hidden="false" customHeight="true" outlineLevel="0" collapsed="false"/>
    <row r="43" customFormat="false" ht="27.75" hidden="false" customHeight="true" outlineLevel="0" collapsed="false"/>
    <row r="44" customFormat="false" ht="27.7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</sheetData>
  <mergeCells count="33">
    <mergeCell ref="A1:H1"/>
    <mergeCell ref="D3:E3"/>
    <mergeCell ref="F3:H3"/>
    <mergeCell ref="B4:C6"/>
    <mergeCell ref="D4:E4"/>
    <mergeCell ref="F4:H4"/>
    <mergeCell ref="D5:E5"/>
    <mergeCell ref="F5:H5"/>
    <mergeCell ref="D6:E6"/>
    <mergeCell ref="F6:G6"/>
    <mergeCell ref="H6:H8"/>
    <mergeCell ref="D7:E7"/>
    <mergeCell ref="F7:G7"/>
    <mergeCell ref="D8:E8"/>
    <mergeCell ref="F8:G8"/>
    <mergeCell ref="A10:E10"/>
    <mergeCell ref="B12:C12"/>
    <mergeCell ref="D12:H12"/>
    <mergeCell ref="A13:H13"/>
    <mergeCell ref="A14:A15"/>
    <mergeCell ref="B14:B15"/>
    <mergeCell ref="C14:C15"/>
    <mergeCell ref="D14:D15"/>
    <mergeCell ref="E14:E15"/>
    <mergeCell ref="F14:F15"/>
    <mergeCell ref="G14:G15"/>
    <mergeCell ref="H14:H15"/>
    <mergeCell ref="H16:H18"/>
    <mergeCell ref="F22:H22"/>
    <mergeCell ref="F23:H23"/>
    <mergeCell ref="F24:H24"/>
    <mergeCell ref="A26:A29"/>
    <mergeCell ref="B26:H29"/>
  </mergeCells>
  <printOptions headings="false" gridLines="false" gridLinesSet="true" horizontalCentered="false" verticalCentered="false"/>
  <pageMargins left="0.470138888888889" right="0.159722222222222" top="0.433333333333333" bottom="0.511805555555556" header="0.511811023622047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2008-02-12T02:33:53Z</dcterms:created>
  <dc:creator>XPuser</dc:creator>
  <dc:description/>
  <dc:language>en-US</dc:language>
  <cp:lastModifiedBy>세환</cp:lastModifiedBy>
  <cp:lastPrinted>2026-09-09T01:01:24Z</cp:lastPrinted>
  <dcterms:modified xsi:type="dcterms:W3CDTF">2026-10-20T09:27:14Z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