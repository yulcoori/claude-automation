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세환\Desktop\사무실 서류\결제서류\261001 박숙영 교수님실 바이오필 (2,400,000)\"/>
    </mc:Choice>
  </mc:AlternateContent>
  <xr:revisionPtr revIDLastSave="0" documentId="13_ncr:1_{F1F61BEB-C2D4-4458-AAAD-8D06D2A2E7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세트1" sheetId="100" r:id="rId1"/>
    <sheet name="세트2" sheetId="101" r:id="rIdS2"/>
    <sheet name="세트3" sheetId="102" r:id="rIdS3"/>
    <sheet name="세트4" sheetId="103" r:id="rIdS4"/>
    <sheet name="세트5" sheetId="104" r:id="rIdS5"/>
  </sheets>
  <definedNames>
    <definedName name="_xlnm.Print_Area" localSheetId="0">세트1!$A$1:$H$31</definedName>
    <definedName name="_xlnm.Print_Area" localSheetId="1">세트2!$A$1:$H$31</definedName>
    <definedName name="_xlnm.Print_Area" localSheetId="2">세트3!$A$1:$H$31</definedName>
    <definedName name="_xlnm.Print_Area" localSheetId="3">세트4!$A$1:$H$31</definedName>
    <definedName name="_xlnm.Print_Area" localSheetId="4">세트5!$A$1:$H$31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<sst xmlns="http://schemas.openxmlformats.org/spreadsheetml/2006/main" count="33" uniqueCount="32">
  <si>
    <t>호남지역  실험실 및 연구기관 분석기기및 소모품 전문공급업체</t>
    <phoneticPr fontId="5" type="noConversion"/>
  </si>
  <si>
    <t>연락처:062-267-8535</t>
    <phoneticPr fontId="5" type="noConversion"/>
  </si>
  <si>
    <t>(인)</t>
    <phoneticPr fontId="5" type="noConversion"/>
  </si>
  <si>
    <t>확인란</t>
    <phoneticPr fontId="5" type="noConversion"/>
  </si>
  <si>
    <t>견적서 유효기간:발행일로부터 30일간 유효</t>
    <phoneticPr fontId="5" type="noConversion"/>
  </si>
  <si>
    <t>총 계</t>
    <phoneticPr fontId="5" type="noConversion"/>
  </si>
  <si>
    <t>청구처:상동</t>
    <phoneticPr fontId="5" type="noConversion"/>
  </si>
  <si>
    <t>VAT</t>
    <phoneticPr fontId="5" type="noConversion"/>
  </si>
  <si>
    <t>합 계</t>
    <phoneticPr fontId="5" type="noConversion"/>
  </si>
  <si>
    <t>납품기일:수주후 45일이내</t>
    <phoneticPr fontId="5" type="noConversion"/>
  </si>
  <si>
    <t>금액</t>
    <phoneticPr fontId="2" type="noConversion"/>
  </si>
  <si>
    <t>단가</t>
    <phoneticPr fontId="2" type="noConversion"/>
  </si>
  <si>
    <t>수량</t>
    <phoneticPr fontId="2" type="noConversion"/>
  </si>
  <si>
    <t>단위</t>
    <phoneticPr fontId="5" type="noConversion"/>
  </si>
  <si>
    <t>P/N</t>
    <phoneticPr fontId="5" type="noConversion"/>
  </si>
  <si>
    <t>품명 및 규격</t>
    <phoneticPr fontId="2" type="noConversion"/>
  </si>
  <si>
    <t>NO.</t>
    <phoneticPr fontId="5" type="noConversion"/>
  </si>
  <si>
    <t>http://www.i-moojinsci.co.kr/</t>
    <phoneticPr fontId="5" type="noConversion"/>
  </si>
  <si>
    <t>아래와 같이 견적합니다.</t>
    <phoneticPr fontId="5" type="noConversion"/>
  </si>
  <si>
    <t>견적서</t>
    <phoneticPr fontId="5" type="noConversion"/>
  </si>
  <si>
    <t>납품처:</t>
    <phoneticPr fontId="5" type="noConversion"/>
  </si>
  <si>
    <t>부가세별도</t>
    <phoneticPr fontId="3" type="noConversion"/>
  </si>
  <si>
    <t>국립순천대학교 산학협력단  귀하</t>
    <phoneticPr fontId="5" type="noConversion"/>
  </si>
  <si>
    <t>EA</t>
  </si>
  <si>
    <t>2026년  09월  24일</t>
    <phoneticPr fontId="3" type="noConversion"/>
  </si>
  <si>
    <t>Piko PCR Plate, 96-well, clear</t>
  </si>
  <si>
    <t>ATP Determination Kit</t>
  </si>
  <si>
    <t>Low Profile Tubes (white) and Ultra Clear Caps, strips of 8</t>
  </si>
  <si>
    <t>SPL0960</t>
  </si>
  <si>
    <t>A22066</t>
  </si>
  <si>
    <t>AB1771</t>
  </si>
  <si>
    <t>PK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</si>
</sst>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_);\(&quot;₩&quot;#,##0\)"/>
    <numFmt numFmtId="177" formatCode="&quot;₩&quot;#,##0;[Red]&quot;₩&quot;&quot;₩&quot;\-#,##0"/>
    <numFmt numFmtId="178" formatCode="&quot;₩&quot;#,##0.00;[Red]&quot;₩&quot;&quot;₩&quot;&quot;₩&quot;&quot;₩&quot;&quot;₩&quot;&quot;₩&quot;\-#,##0.00"/>
    <numFmt numFmtId="179" formatCode="_ * #,##0_ ;_ * \-#,##0_ ;_ * &quot;-&quot;_ ;_ @_ "/>
    <numFmt numFmtId="180" formatCode="_ * #,##0.00_ ;_ * \-#,##0.00_ ;_ * &quot;-&quot;??_ ;_ @_ "/>
    <numFmt numFmtId="181" formatCode="&quot;₩&quot;#,##0;&quot;₩&quot;&quot;₩&quot;&quot;₩&quot;&quot;₩&quot;&quot;₩&quot;&quot;₩&quot;&quot;₩&quot;&quot;₩&quot;\-#,##0"/>
    <numFmt numFmtId="182" formatCode="&quot;₩&quot;#,##0.00;&quot;₩&quot;&quot;₩&quot;&quot;₩&quot;&quot;₩&quot;&quot;₩&quot;&quot;₩&quot;&quot;₩&quot;&quot;₩&quot;\-#,##0.00"/>
    <numFmt numFmtId="183" formatCode="mm&quot;월&quot;\ dd&quot;일&quot;"/>
    <numFmt numFmtId="185" formatCode="#,##0_);[Red]\(#,##0\)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name val="굴림"/>
      <family val="3"/>
      <charset val="129"/>
    </font>
    <font>
      <b/>
      <sz val="11"/>
      <name val="굴림"/>
      <family val="3"/>
      <charset val="129"/>
    </font>
    <font>
      <b/>
      <sz val="10"/>
      <name val="굴림"/>
      <family val="3"/>
      <charset val="129"/>
    </font>
    <font>
      <sz val="9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굴림"/>
      <family val="3"/>
      <charset val="129"/>
    </font>
    <font>
      <sz val="10"/>
      <name val="Helv"/>
      <family val="2"/>
    </font>
    <font>
      <b/>
      <sz val="12"/>
      <name val="굴림"/>
      <family val="3"/>
      <charset val="129"/>
    </font>
    <font>
      <u/>
      <sz val="11"/>
      <color indexed="12"/>
      <name val="돋움"/>
      <family val="3"/>
      <charset val="129"/>
    </font>
    <font>
      <b/>
      <u/>
      <sz val="11"/>
      <color indexed="12"/>
      <name val="돋움"/>
      <family val="3"/>
      <charset val="129"/>
    </font>
    <font>
      <b/>
      <sz val="14"/>
      <name val="굴림"/>
      <family val="3"/>
      <charset val="129"/>
    </font>
    <font>
      <b/>
      <u/>
      <sz val="14"/>
      <name val="굴림"/>
      <family val="3"/>
      <charset val="129"/>
    </font>
    <font>
      <b/>
      <u/>
      <sz val="36"/>
      <name val="굴림"/>
      <family val="3"/>
      <charset val="129"/>
    </font>
    <font>
      <sz val="12"/>
      <name val="뼻뮝"/>
      <family val="1"/>
      <charset val="129"/>
    </font>
    <font>
      <sz val="10"/>
      <name val="Arial"/>
      <family val="2"/>
    </font>
    <font>
      <sz val="12"/>
      <name val="¹UAAA¼"/>
      <family val="3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1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9" fillId="0" borderId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2" fontId="20" fillId="0" borderId="0" applyFont="0" applyFill="0" applyBorder="0" applyAlignment="0" applyProtection="0"/>
    <xf numFmtId="0" fontId="20" fillId="0" borderId="0"/>
  </cellStyleXfs>
  <cellXfs count="63">
    <xf numFmtId="0" fontId="0" fillId="0" borderId="0" xfId="0"/>
    <xf numFmtId="0" fontId="2" fillId="0" borderId="0" xfId="3" applyFont="1"/>
    <xf numFmtId="42" fontId="2" fillId="0" borderId="0" xfId="2" applyFont="1"/>
    <xf numFmtId="41" fontId="2" fillId="0" borderId="0" xfId="1" applyFont="1"/>
    <xf numFmtId="0" fontId="4" fillId="0" borderId="0" xfId="0" applyFont="1"/>
    <xf numFmtId="0" fontId="6" fillId="0" borderId="0" xfId="4" applyFont="1" applyAlignment="1">
      <alignment vertical="center"/>
    </xf>
    <xf numFmtId="0" fontId="7" fillId="0" borderId="0" xfId="3" applyFont="1"/>
    <xf numFmtId="0" fontId="2" fillId="0" borderId="0" xfId="3" applyFont="1" applyAlignment="1">
      <alignment vertical="center"/>
    </xf>
    <xf numFmtId="176" fontId="8" fillId="0" borderId="13" xfId="3" applyNumberFormat="1" applyFont="1" applyBorder="1" applyAlignment="1">
      <alignment vertical="center"/>
    </xf>
    <xf numFmtId="41" fontId="7" fillId="0" borderId="13" xfId="1" applyFont="1" applyBorder="1" applyAlignment="1">
      <alignment horizontal="center" vertical="center"/>
    </xf>
    <xf numFmtId="0" fontId="9" fillId="0" borderId="0" xfId="4" applyFont="1" applyAlignment="1">
      <alignment vertical="center"/>
    </xf>
    <xf numFmtId="176" fontId="8" fillId="0" borderId="14" xfId="3" applyNumberFormat="1" applyFont="1" applyBorder="1" applyAlignment="1">
      <alignment horizontal="right" vertical="center"/>
    </xf>
    <xf numFmtId="41" fontId="7" fillId="0" borderId="14" xfId="1" applyFont="1" applyBorder="1" applyAlignment="1">
      <alignment horizontal="center" vertical="center"/>
    </xf>
    <xf numFmtId="0" fontId="4" fillId="0" borderId="0" xfId="3" applyFont="1"/>
    <xf numFmtId="0" fontId="10" fillId="0" borderId="0" xfId="4" applyFont="1" applyAlignment="1">
      <alignment vertical="center"/>
    </xf>
    <xf numFmtId="176" fontId="8" fillId="0" borderId="15" xfId="1" applyNumberFormat="1" applyFont="1" applyBorder="1" applyAlignment="1" applyProtection="1">
      <alignment horizontal="right" vertical="center"/>
    </xf>
    <xf numFmtId="41" fontId="7" fillId="0" borderId="15" xfId="1" applyFont="1" applyBorder="1" applyAlignment="1">
      <alignment horizontal="center" vertical="center"/>
    </xf>
    <xf numFmtId="0" fontId="6" fillId="0" borderId="0" xfId="4" applyFont="1" applyAlignment="1" applyProtection="1">
      <alignment vertical="center"/>
      <protection locked="0"/>
    </xf>
    <xf numFmtId="0" fontId="11" fillId="0" borderId="0" xfId="3" applyFont="1"/>
    <xf numFmtId="0" fontId="2" fillId="0" borderId="0" xfId="4" applyFont="1" applyAlignment="1">
      <alignment vertical="center"/>
    </xf>
    <xf numFmtId="0" fontId="6" fillId="0" borderId="0" xfId="4" applyFont="1"/>
    <xf numFmtId="0" fontId="6" fillId="2" borderId="14" xfId="5" applyFont="1" applyFill="1" applyBorder="1" applyAlignment="1" applyProtection="1">
      <alignment horizontal="center"/>
      <protection locked="0"/>
    </xf>
    <xf numFmtId="0" fontId="6" fillId="2" borderId="14" xfId="5" applyFont="1" applyFill="1" applyBorder="1" applyAlignment="1">
      <alignment horizontal="center"/>
    </xf>
    <xf numFmtId="42" fontId="6" fillId="0" borderId="14" xfId="2" applyFont="1" applyFill="1" applyBorder="1" applyAlignment="1"/>
    <xf numFmtId="0" fontId="14" fillId="0" borderId="0" xfId="7" applyAlignment="1" applyProtection="1"/>
    <xf numFmtId="0" fontId="13" fillId="0" borderId="0" xfId="3" applyFont="1" applyAlignment="1">
      <alignment horizontal="left"/>
    </xf>
    <xf numFmtId="0" fontId="2" fillId="0" borderId="0" xfId="3" applyFont="1" applyAlignment="1">
      <alignment horizontal="left"/>
    </xf>
    <xf numFmtId="0" fontId="6" fillId="3" borderId="14" xfId="6" applyFont="1" applyFill="1" applyBorder="1" applyAlignment="1">
      <alignment horizontal="center"/>
    </xf>
    <xf numFmtId="49" fontId="6" fillId="0" borderId="14" xfId="0" applyNumberFormat="1" applyFont="1" applyBorder="1" applyAlignment="1">
      <alignment horizontal="center"/>
    </xf>
    <xf numFmtId="42" fontId="6" fillId="2" borderId="14" xfId="2" applyFont="1" applyFill="1" applyBorder="1" applyAlignment="1" applyProtection="1">
      <alignment horizontal="center"/>
      <protection locked="0"/>
    </xf>
    <xf numFmtId="0" fontId="13" fillId="0" borderId="13" xfId="4" applyFont="1" applyBorder="1" applyAlignment="1">
      <alignment horizontal="center" vertical="center"/>
    </xf>
    <xf numFmtId="0" fontId="13" fillId="0" borderId="13" xfId="4" applyFont="1" applyBorder="1" applyAlignment="1">
      <alignment horizontal="center" vertical="center" shrinkToFit="1"/>
    </xf>
    <xf numFmtId="41" fontId="13" fillId="0" borderId="13" xfId="1" applyFont="1" applyBorder="1" applyAlignment="1">
      <alignment horizontal="center" vertical="center"/>
    </xf>
    <xf numFmtId="183" fontId="13" fillId="0" borderId="0" xfId="3" applyNumberFormat="1" applyFont="1" applyAlignment="1">
      <alignment horizontal="left"/>
    </xf>
    <xf numFmtId="0" fontId="8" fillId="0" borderId="13" xfId="4" applyFont="1" applyBorder="1" applyAlignment="1">
      <alignment horizontal="center" vertical="center"/>
    </xf>
    <xf numFmtId="0" fontId="8" fillId="2" borderId="14" xfId="5" applyFont="1" applyFill="1" applyBorder="1" applyAlignment="1">
      <alignment horizontal="center" vertical="center"/>
    </xf>
    <xf numFmtId="0" fontId="10" fillId="0" borderId="14" xfId="0" applyFont="1" applyBorder="1" applyAlignment="1" applyProtection="1">
      <alignment vertical="center" wrapText="1"/>
      <protection locked="0"/>
    </xf>
    <xf numFmtId="0" fontId="10" fillId="2" borderId="14" xfId="5" applyFont="1" applyFill="1" applyBorder="1" applyAlignment="1" applyProtection="1">
      <alignment horizontal="center" vertical="center" wrapText="1"/>
      <protection locked="0"/>
    </xf>
    <xf numFmtId="0" fontId="10" fillId="0" borderId="14" xfId="1" applyNumberFormat="1" applyFont="1" applyBorder="1" applyAlignment="1">
      <alignment horizontal="center" vertical="center" wrapText="1"/>
    </xf>
    <xf numFmtId="0" fontId="10" fillId="0" borderId="0" xfId="1" applyNumberFormat="1" applyFont="1" applyBorder="1" applyAlignment="1">
      <alignment vertical="center"/>
    </xf>
    <xf numFmtId="41" fontId="10" fillId="2" borderId="14" xfId="1" applyFont="1" applyFill="1" applyBorder="1" applyAlignment="1" applyProtection="1">
      <alignment horizontal="center" vertical="center" wrapText="1"/>
      <protection locked="0"/>
    </xf>
    <xf numFmtId="185" fontId="10" fillId="0" borderId="14" xfId="1" applyNumberFormat="1" applyFont="1" applyBorder="1" applyAlignment="1">
      <alignment vertical="center" wrapText="1"/>
    </xf>
    <xf numFmtId="0" fontId="22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3" fontId="10" fillId="0" borderId="14" xfId="1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8" fillId="0" borderId="0" xfId="3" applyFont="1" applyAlignment="1">
      <alignment horizontal="center"/>
    </xf>
    <xf numFmtId="0" fontId="17" fillId="0" borderId="0" xfId="3" applyFont="1" applyAlignment="1">
      <alignment vertical="center" wrapText="1" shrinkToFit="1"/>
    </xf>
    <xf numFmtId="0" fontId="17" fillId="0" borderId="0" xfId="3" applyFont="1" applyAlignment="1">
      <alignment vertical="center" shrinkToFit="1"/>
    </xf>
    <xf numFmtId="0" fontId="16" fillId="0" borderId="0" xfId="3" applyFont="1" applyAlignment="1">
      <alignment vertical="center" shrinkToFit="1"/>
    </xf>
    <xf numFmtId="0" fontId="15" fillId="0" borderId="16" xfId="7" applyFont="1" applyBorder="1" applyAlignment="1" applyProtection="1">
      <alignment horizontal="center"/>
    </xf>
    <xf numFmtId="41" fontId="2" fillId="0" borderId="12" xfId="1" applyFont="1" applyBorder="1" applyAlignment="1">
      <alignment horizontal="center" vertical="center"/>
    </xf>
    <xf numFmtId="41" fontId="2" fillId="0" borderId="10" xfId="1" applyFont="1" applyBorder="1" applyAlignment="1">
      <alignment horizontal="center" vertical="center"/>
    </xf>
    <xf numFmtId="0" fontId="2" fillId="0" borderId="11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</cellXfs>
  <cellStyles count="21">
    <cellStyle name="AeE­ [0]_INQUIRY ¿μ¾÷AßAø " xfId="11" xr:uid="{00000000-0005-0000-0000-000000000000}"/>
    <cellStyle name="AeE­_INQUIRY ¿μ¾÷AßAø " xfId="12" xr:uid="{00000000-0005-0000-0000-000001000000}"/>
    <cellStyle name="AÞ¸¶ [0]_INQUIRY ¿μ¾÷AßAø " xfId="13" xr:uid="{00000000-0005-0000-0000-000002000000}"/>
    <cellStyle name="AÞ¸¶_INQUIRY ¿μ¾÷AßAø " xfId="14" xr:uid="{00000000-0005-0000-0000-000003000000}"/>
    <cellStyle name="C￥AØ_¿μ¾÷CoE² " xfId="15" xr:uid="{00000000-0005-0000-0000-000004000000}"/>
    <cellStyle name="Comma [0]_ SG&amp;A Bridge " xfId="16" xr:uid="{00000000-0005-0000-0000-000005000000}"/>
    <cellStyle name="Comma_ SG&amp;A Bridge " xfId="17" xr:uid="{00000000-0005-0000-0000-000006000000}"/>
    <cellStyle name="Currency [0]_ SG&amp;A Bridge " xfId="18" xr:uid="{00000000-0005-0000-0000-000007000000}"/>
    <cellStyle name="Currency_ SG&amp;A Bridge " xfId="19" xr:uid="{00000000-0005-0000-0000-000008000000}"/>
    <cellStyle name="Normal_ SG&amp;A Bridge " xfId="20" xr:uid="{00000000-0005-0000-0000-000009000000}"/>
    <cellStyle name="뷭?_BOOKSHIP" xfId="8" xr:uid="{00000000-0005-0000-0000-00000A000000}"/>
    <cellStyle name="쉼표 [0]" xfId="1" builtinId="6"/>
    <cellStyle name="콤마 [0]_1202" xfId="9" xr:uid="{00000000-0005-0000-0000-00000C000000}"/>
    <cellStyle name="콤마_1202" xfId="10" xr:uid="{00000000-0005-0000-0000-00000D000000}"/>
    <cellStyle name="통화 [0]" xfId="2" builtinId="7"/>
    <cellStyle name="표준" xfId="0" builtinId="0"/>
    <cellStyle name="표준_견적서_양식_2_견적서양식(2005년)-원본" xfId="4" xr:uid="{00000000-0005-0000-0000-000010000000}"/>
    <cellStyle name="표준_견적서_양식_2_네오메디칼" xfId="5" xr:uid="{00000000-0005-0000-0000-000011000000}"/>
    <cellStyle name="표준_견적서양식(2005년)-원본" xfId="3" xr:uid="{00000000-0005-0000-0000-000012000000}"/>
    <cellStyle name="표준_소모품 리스트-BRAN+BLTEC" xfId="6" xr:uid="{00000000-0005-0000-0000-000013000000}"/>
    <cellStyle name="하이퍼링크" xfId="7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S2" Type="http://schemas.openxmlformats.org/officeDocument/2006/relationships/worksheet" Target="worksheets/sheet2.xml"/><Relationship Id="rIdS3" Type="http://schemas.openxmlformats.org/officeDocument/2006/relationships/worksheet" Target="worksheets/sheet3.xml"/><Relationship Id="rIdS4" Type="http://schemas.openxmlformats.org/officeDocument/2006/relationships/worksheet" Target="worksheets/sheet4.xml"/><Relationship Id="rIdS5" Type="http://schemas.openxmlformats.org/officeDocument/2006/relationships/worksheet" Target="worksheets/sheet5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2</xdr:col>
      <xdr:colOff>1044702</xdr:colOff>
      <xdr:row>0</xdr:row>
      <xdr:rowOff>323850</xdr:rowOff>
    </xdr:to>
    <xdr:pic>
      <xdr:nvPicPr>
        <xdr:cNvPr id="2" name="Picture 1" descr="무진과학로고최종수정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050"/>
          <a:ext cx="1444752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3305175</xdr:colOff>
      <xdr:row>30</xdr:row>
      <xdr:rowOff>200025</xdr:rowOff>
    </xdr:from>
    <xdr:to>
      <xdr:col>2</xdr:col>
      <xdr:colOff>5200650</xdr:colOff>
      <xdr:row>32</xdr:row>
      <xdr:rowOff>219075</xdr:rowOff>
    </xdr:to>
    <xdr:pic>
      <xdr:nvPicPr>
        <xdr:cNvPr id="3" name="Picture 3" descr="영린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86000" y="7429500"/>
          <a:ext cx="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200025</xdr:colOff>
      <xdr:row>25</xdr:row>
      <xdr:rowOff>104775</xdr:rowOff>
    </xdr:from>
    <xdr:to>
      <xdr:col>2</xdr:col>
      <xdr:colOff>1463040</xdr:colOff>
      <xdr:row>25</xdr:row>
      <xdr:rowOff>105607</xdr:rowOff>
    </xdr:to>
    <xdr:pic>
      <xdr:nvPicPr>
        <xdr:cNvPr id="4" name="Picture 4" descr="EMB00000d40000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62025" y="6657975"/>
          <a:ext cx="13239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3124200</xdr:colOff>
      <xdr:row>23</xdr:row>
      <xdr:rowOff>219075</xdr:rowOff>
    </xdr:from>
    <xdr:to>
      <xdr:col>2</xdr:col>
      <xdr:colOff>4724400</xdr:colOff>
      <xdr:row>25</xdr:row>
      <xdr:rowOff>76200</xdr:rowOff>
    </xdr:to>
    <xdr:pic>
      <xdr:nvPicPr>
        <xdr:cNvPr id="5" name="Picture 5" descr="TEC-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86000" y="64198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2647950</xdr:colOff>
      <xdr:row>23</xdr:row>
      <xdr:rowOff>76200</xdr:rowOff>
    </xdr:from>
    <xdr:to>
      <xdr:col>3</xdr:col>
      <xdr:colOff>869442</xdr:colOff>
      <xdr:row>23</xdr:row>
      <xdr:rowOff>76912</xdr:rowOff>
    </xdr:to>
    <xdr:pic>
      <xdr:nvPicPr>
        <xdr:cNvPr id="6" name="Picture 6" descr="hom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286000" y="6362700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1428750</xdr:colOff>
      <xdr:row>23</xdr:row>
      <xdr:rowOff>28575</xdr:rowOff>
    </xdr:from>
    <xdr:to>
      <xdr:col>2</xdr:col>
      <xdr:colOff>2178939</xdr:colOff>
      <xdr:row>23</xdr:row>
      <xdr:rowOff>29006</xdr:rowOff>
    </xdr:to>
    <xdr:pic>
      <xdr:nvPicPr>
        <xdr:cNvPr id="7" name="Picture 7" descr="Waters Corporation-Laboratory solutions for HPLC, chromatography, mass spectrometry, and laboratory informatics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286000" y="631507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476250</xdr:colOff>
      <xdr:row>25</xdr:row>
      <xdr:rowOff>95250</xdr:rowOff>
    </xdr:from>
    <xdr:to>
      <xdr:col>5</xdr:col>
      <xdr:colOff>28575</xdr:colOff>
      <xdr:row>27</xdr:row>
      <xdr:rowOff>57150</xdr:rowOff>
    </xdr:to>
    <xdr:pic>
      <xdr:nvPicPr>
        <xdr:cNvPr id="8" name="Picture 8" descr="영린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0" y="6648450"/>
          <a:ext cx="10763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323850</xdr:colOff>
      <xdr:row>23</xdr:row>
      <xdr:rowOff>76200</xdr:rowOff>
    </xdr:from>
    <xdr:to>
      <xdr:col>6</xdr:col>
      <xdr:colOff>733425</xdr:colOff>
      <xdr:row>25</xdr:row>
      <xdr:rowOff>9525</xdr:rowOff>
    </xdr:to>
    <xdr:pic>
      <xdr:nvPicPr>
        <xdr:cNvPr id="9" name="Picture 9" descr="TEC-LOG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371850" y="6362700"/>
          <a:ext cx="19335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1704975</xdr:colOff>
      <xdr:row>25</xdr:row>
      <xdr:rowOff>95250</xdr:rowOff>
    </xdr:from>
    <xdr:to>
      <xdr:col>2</xdr:col>
      <xdr:colOff>2802813</xdr:colOff>
      <xdr:row>25</xdr:row>
      <xdr:rowOff>96082</xdr:rowOff>
    </xdr:to>
    <xdr:pic>
      <xdr:nvPicPr>
        <xdr:cNvPr id="10" name="Picture 11" descr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286000" y="6648450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180975</xdr:colOff>
      <xdr:row>1</xdr:row>
      <xdr:rowOff>38100</xdr:rowOff>
    </xdr:from>
    <xdr:to>
      <xdr:col>8</xdr:col>
      <xdr:colOff>0</xdr:colOff>
      <xdr:row>9</xdr:row>
      <xdr:rowOff>38100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>
          <a:grpSpLocks noChangeAspect="1"/>
        </xdr:cNvGrpSpPr>
      </xdr:nvGrpSpPr>
      <xdr:grpSpPr bwMode="auto">
        <a:xfrm>
          <a:off x="3876675" y="628650"/>
          <a:ext cx="3648075" cy="1657350"/>
          <a:chOff x="402" y="86"/>
          <a:chExt cx="386" cy="155"/>
        </a:xfrm>
      </xdr:grpSpPr>
      <xdr:sp macro="" textlink="">
        <xdr:nvSpPr>
          <xdr:cNvPr id="12" name="AutoShape 13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02" y="86"/>
            <a:ext cx="371" cy="154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" name="Rectangle 15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89"/>
            <a:ext cx="278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사업자 등록번호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408 - 07 - 78981</a:t>
            </a:r>
          </a:p>
        </xdr:txBody>
      </xdr:sp>
      <xdr:sp macro="" textlink="">
        <xdr:nvSpPr>
          <xdr:cNvPr id="14" name="Rectangle 16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06"/>
            <a:ext cx="286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상 호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무 진 과 학  대표자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장 재 수</a:t>
            </a:r>
          </a:p>
        </xdr:txBody>
      </xdr:sp>
      <xdr:sp macro="" textlink="">
        <xdr:nvSpPr>
          <xdr:cNvPr id="15" name="Rectangle 17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23"/>
            <a:ext cx="364" cy="3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주 소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광주광역시 북구 두암동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851-12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번지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2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층</a:t>
            </a:r>
            <a:endParaRPr lang="en-US" altLang="ko-KR" sz="1100" b="1" i="0" strike="noStrike">
              <a:solidFill>
                <a:srgbClr val="000000"/>
              </a:solidFill>
              <a:latin typeface="굴림"/>
              <a:ea typeface="굴림"/>
            </a:endParaRPr>
          </a:p>
          <a:p>
            <a:pPr algn="l" rtl="0">
              <a:defRPr sz="1000"/>
            </a:pPr>
            <a:endParaRPr lang="ko-KR" altLang="en-US" sz="1100" b="1" i="0" strike="noStrike">
              <a:solidFill>
                <a:srgbClr val="000000"/>
              </a:solidFill>
              <a:latin typeface="굴림"/>
              <a:ea typeface="굴림"/>
            </a:endParaRPr>
          </a:p>
        </xdr:txBody>
      </xdr:sp>
      <xdr:sp macro="" textlink="">
        <xdr:nvSpPr>
          <xdr:cNvPr id="16" name="Rectangle 18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40"/>
            <a:ext cx="33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업 태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도매   종 목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과학기자재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,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무역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,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시약</a:t>
            </a:r>
          </a:p>
        </xdr:txBody>
      </xdr:sp>
      <xdr:sp macro="" textlink="">
        <xdr:nvSpPr>
          <xdr:cNvPr id="17" name="Rectangle 19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57"/>
            <a:ext cx="218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전 화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062) 267-8535,8534</a:t>
            </a:r>
          </a:p>
        </xdr:txBody>
      </xdr:sp>
      <xdr:sp macro="" textlink="">
        <xdr:nvSpPr>
          <xdr:cNvPr id="18" name="Rectangle 20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74"/>
            <a:ext cx="174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팩 스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 062) 267-8532</a:t>
            </a:r>
          </a:p>
        </xdr:txBody>
      </xdr:sp>
      <xdr:sp macro="" textlink="">
        <xdr:nvSpPr>
          <xdr:cNvPr id="19" name="Rectangle 2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470" y="191"/>
            <a:ext cx="24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altLang="ko-KR" sz="1100" b="1" i="0" strike="noStrike">
                <a:solidFill>
                  <a:srgbClr val="FF0000"/>
                </a:solidFill>
                <a:latin typeface="굴림"/>
                <a:ea typeface="굴림"/>
              </a:rPr>
              <a:t>E-Mail </a:t>
            </a:r>
            <a:r>
              <a:rPr lang="ko-KR" altLang="en-US" sz="1100" b="1" i="0" strike="noStrike">
                <a:solidFill>
                  <a:srgbClr val="FF0000"/>
                </a:solidFill>
                <a:latin typeface="굴림"/>
                <a:ea typeface="굴림"/>
              </a:rPr>
              <a:t>송부시 직인 생략합니다</a:t>
            </a:r>
            <a:r>
              <a:rPr lang="en-US" altLang="ko-KR" sz="1100" b="1" i="0" strike="noStrike">
                <a:solidFill>
                  <a:srgbClr val="FF0000"/>
                </a:solidFill>
                <a:latin typeface="굴림"/>
                <a:ea typeface="굴림"/>
              </a:rPr>
              <a:t>.</a:t>
            </a:r>
          </a:p>
        </xdr:txBody>
      </xdr:sp>
      <xdr:sp macro="" textlink="">
        <xdr:nvSpPr>
          <xdr:cNvPr id="20" name="Rectangle 22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439" y="208"/>
            <a:ext cx="306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altLang="ko-KR" sz="1100" b="1" i="0" strike="noStrike">
                <a:solidFill>
                  <a:srgbClr val="0000FF"/>
                </a:solidFill>
                <a:latin typeface="굴림"/>
                <a:ea typeface="굴림"/>
              </a:rPr>
              <a:t>*WATERS KOREA, </a:t>
            </a:r>
            <a:r>
              <a:rPr lang="ko-KR" altLang="en-US" sz="1100" b="1" i="0" strike="noStrike">
                <a:solidFill>
                  <a:srgbClr val="0000FF"/>
                </a:solidFill>
                <a:latin typeface="굴림"/>
                <a:ea typeface="굴림"/>
              </a:rPr>
              <a:t>영린기기 총판대리점</a:t>
            </a:r>
          </a:p>
        </xdr:txBody>
      </xdr:sp>
      <xdr:sp macro="" textlink="">
        <xdr:nvSpPr>
          <xdr:cNvPr id="21" name="Rectangle 23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Arrowheads="1"/>
          </xdr:cNvSpPr>
        </xdr:nvSpPr>
        <xdr:spPr bwMode="auto">
          <a:xfrm>
            <a:off x="417" y="225"/>
            <a:ext cx="35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altLang="ko-KR" sz="1100" b="1" i="0" strike="noStrike">
                <a:solidFill>
                  <a:srgbClr val="0000FF"/>
                </a:solidFill>
                <a:latin typeface="굴림"/>
                <a:ea typeface="굴림"/>
              </a:rPr>
              <a:t>*BRAN+LUEBBE,ACCUSTANDARD </a:t>
            </a:r>
            <a:r>
              <a:rPr lang="ko-KR" altLang="en-US" sz="1100" b="1" i="0" strike="noStrike">
                <a:solidFill>
                  <a:srgbClr val="0000FF"/>
                </a:solidFill>
                <a:latin typeface="굴림"/>
                <a:ea typeface="굴림"/>
              </a:rPr>
              <a:t>광주대리점</a:t>
            </a:r>
          </a:p>
        </xdr:txBody>
      </xdr:sp>
      <xdr:sp macro="" textlink="">
        <xdr:nvSpPr>
          <xdr:cNvPr id="22" name="Rectangle 24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402" y="86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3" name="Line 25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86"/>
            <a:ext cx="370" cy="1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Rectangle 26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86"/>
            <a:ext cx="370" cy="1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5" name="Rectangle 27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86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6" name="Line 28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03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27" name="Rectangle 29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03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8" name="Line 30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20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29" name="Rectangle 31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20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0" name="Line 32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37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1" name="Rectangle 33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37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2" name="Line 34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54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3" name="Rectangle 35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54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4" name="Line 36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71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5" name="Rectangle 37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71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6" name="Line 38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88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7" name="Rectangle 39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88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8" name="Line 40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205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9" name="Rectangle 41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205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0" name="Line 42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222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41" name="Rectangle 43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222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2" name="Line 44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>
            <a:spLocks noChangeShapeType="1"/>
          </xdr:cNvSpPr>
        </xdr:nvSpPr>
        <xdr:spPr bwMode="auto">
          <a:xfrm>
            <a:off x="402" y="86"/>
            <a:ext cx="1" cy="154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" name="Rectangle 45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402" y="86"/>
            <a:ext cx="1" cy="154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4" name="Line 46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239"/>
            <a:ext cx="370" cy="1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" name="Rectangle 47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239"/>
            <a:ext cx="370" cy="1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6" name="Line 48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772" y="87"/>
            <a:ext cx="1" cy="153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" name="Rectangle 49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87"/>
            <a:ext cx="1" cy="153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8" name="Line 50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402" y="240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49" name="Rectangle 51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02" y="240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0" name="Line 52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772" y="240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1" name="Rectangle 53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240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2" name="Line 54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86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3" name="Rectangle 55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86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4" name="Line 56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03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5" name="Rectangle 57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03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6" name="Line 58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20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7" name="Rectangle 59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20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8" name="Line 60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37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9" name="Rectangle 61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37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0" name="Line 62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54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1" name="Rectangle 63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54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2" name="Line 64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71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3" name="Rectangle 65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71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4" name="Line 66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88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5" name="Rectangle 67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88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6" name="Line 68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205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7" name="Rectangle 69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205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8" name="Line 70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222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9" name="Rectangle 71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222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70" name="Line 72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239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71" name="Rectangle 73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239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</xdr:grpSp>
    <xdr:clientData/>
  </xdr:twoCellAnchor>
  <xdr:twoCellAnchor editAs="oneCell">
    <xdr:from>
      <xdr:col>5</xdr:col>
      <xdr:colOff>19050</xdr:colOff>
      <xdr:row>25</xdr:row>
      <xdr:rowOff>104775</xdr:rowOff>
    </xdr:from>
    <xdr:to>
      <xdr:col>6</xdr:col>
      <xdr:colOff>824103</xdr:colOff>
      <xdr:row>25</xdr:row>
      <xdr:rowOff>105086</xdr:rowOff>
    </xdr:to>
    <xdr:pic>
      <xdr:nvPicPr>
        <xdr:cNvPr id="73" name="그림 72" descr="n_img2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829050" y="6657975"/>
          <a:ext cx="15049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38100</xdr:colOff>
      <xdr:row>23</xdr:row>
      <xdr:rowOff>47625</xdr:rowOff>
    </xdr:from>
    <xdr:to>
      <xdr:col>2</xdr:col>
      <xdr:colOff>1243203</xdr:colOff>
      <xdr:row>23</xdr:row>
      <xdr:rowOff>47956</xdr:rowOff>
    </xdr:to>
    <xdr:pic>
      <xdr:nvPicPr>
        <xdr:cNvPr id="74" name="그림 73" descr="n_img4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562100" y="6334125"/>
          <a:ext cx="7239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942975</xdr:colOff>
      <xdr:row>23</xdr:row>
      <xdr:rowOff>47625</xdr:rowOff>
    </xdr:from>
    <xdr:to>
      <xdr:col>7</xdr:col>
      <xdr:colOff>870204</xdr:colOff>
      <xdr:row>23</xdr:row>
      <xdr:rowOff>48056</xdr:rowOff>
    </xdr:to>
    <xdr:pic>
      <xdr:nvPicPr>
        <xdr:cNvPr id="75" name="그림 74" descr="오디랩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334000" y="6334125"/>
          <a:ext cx="7620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847725</xdr:colOff>
      <xdr:row>25</xdr:row>
      <xdr:rowOff>66675</xdr:rowOff>
    </xdr:from>
    <xdr:to>
      <xdr:col>7</xdr:col>
      <xdr:colOff>842391</xdr:colOff>
      <xdr:row>25</xdr:row>
      <xdr:rowOff>67006</xdr:rowOff>
    </xdr:to>
    <xdr:pic>
      <xdr:nvPicPr>
        <xdr:cNvPr id="76" name="그림 75" descr="main_14.gi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334000" y="6619875"/>
          <a:ext cx="76200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123824</xdr:colOff>
      <xdr:row>1</xdr:row>
      <xdr:rowOff>95250</xdr:rowOff>
    </xdr:from>
    <xdr:to>
      <xdr:col>7</xdr:col>
      <xdr:colOff>769620</xdr:colOff>
      <xdr:row>4</xdr:row>
      <xdr:rowOff>114627</xdr:rowOff>
    </xdr:to>
    <xdr:pic>
      <xdr:nvPicPr>
        <xdr:cNvPr id="77" name="그림 76" descr="도장2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clrChange>
            <a:clrFrom>
              <a:srgbClr val="FFF6FB"/>
            </a:clrFrom>
            <a:clrTo>
              <a:srgbClr val="FFF6FB">
                <a:alpha val="0"/>
              </a:srgbClr>
            </a:clrTo>
          </a:clrChange>
        </a:blip>
        <a:stretch>
          <a:fillRect/>
        </a:stretch>
      </xdr:blipFill>
      <xdr:spPr>
        <a:xfrm>
          <a:off x="5915024" y="681990"/>
          <a:ext cx="645796" cy="5984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2</xdr:col>
      <xdr:colOff>1044702</xdr:colOff>
      <xdr:row>0</xdr:row>
      <xdr:rowOff>323850</xdr:rowOff>
    </xdr:to>
    <xdr:pic>
      <xdr:nvPicPr>
        <xdr:cNvPr id="2" name="Picture 1" descr="무진과학로고최종수정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050"/>
          <a:ext cx="1444752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3305175</xdr:colOff>
      <xdr:row>30</xdr:row>
      <xdr:rowOff>200025</xdr:rowOff>
    </xdr:from>
    <xdr:to>
      <xdr:col>2</xdr:col>
      <xdr:colOff>5200650</xdr:colOff>
      <xdr:row>32</xdr:row>
      <xdr:rowOff>219075</xdr:rowOff>
    </xdr:to>
    <xdr:pic>
      <xdr:nvPicPr>
        <xdr:cNvPr id="3" name="Picture 3" descr="영린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86000" y="7429500"/>
          <a:ext cx="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200025</xdr:colOff>
      <xdr:row>25</xdr:row>
      <xdr:rowOff>104775</xdr:rowOff>
    </xdr:from>
    <xdr:to>
      <xdr:col>2</xdr:col>
      <xdr:colOff>1463040</xdr:colOff>
      <xdr:row>25</xdr:row>
      <xdr:rowOff>105607</xdr:rowOff>
    </xdr:to>
    <xdr:pic>
      <xdr:nvPicPr>
        <xdr:cNvPr id="4" name="Picture 4" descr="EMB00000d40000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62025" y="6657975"/>
          <a:ext cx="13239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3124200</xdr:colOff>
      <xdr:row>23</xdr:row>
      <xdr:rowOff>219075</xdr:rowOff>
    </xdr:from>
    <xdr:to>
      <xdr:col>2</xdr:col>
      <xdr:colOff>4724400</xdr:colOff>
      <xdr:row>25</xdr:row>
      <xdr:rowOff>76200</xdr:rowOff>
    </xdr:to>
    <xdr:pic>
      <xdr:nvPicPr>
        <xdr:cNvPr id="5" name="Picture 5" descr="TEC-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86000" y="64198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2647950</xdr:colOff>
      <xdr:row>23</xdr:row>
      <xdr:rowOff>76200</xdr:rowOff>
    </xdr:from>
    <xdr:to>
      <xdr:col>3</xdr:col>
      <xdr:colOff>869442</xdr:colOff>
      <xdr:row>23</xdr:row>
      <xdr:rowOff>76912</xdr:rowOff>
    </xdr:to>
    <xdr:pic>
      <xdr:nvPicPr>
        <xdr:cNvPr id="6" name="Picture 6" descr="hom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286000" y="6362700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1428750</xdr:colOff>
      <xdr:row>23</xdr:row>
      <xdr:rowOff>28575</xdr:rowOff>
    </xdr:from>
    <xdr:to>
      <xdr:col>2</xdr:col>
      <xdr:colOff>2178939</xdr:colOff>
      <xdr:row>23</xdr:row>
      <xdr:rowOff>29006</xdr:rowOff>
    </xdr:to>
    <xdr:pic>
      <xdr:nvPicPr>
        <xdr:cNvPr id="7" name="Picture 7" descr="Waters Corporation-Laboratory solutions for HPLC, chromatography, mass spectrometry, and laboratory informatics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286000" y="631507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476250</xdr:colOff>
      <xdr:row>25</xdr:row>
      <xdr:rowOff>95250</xdr:rowOff>
    </xdr:from>
    <xdr:to>
      <xdr:col>5</xdr:col>
      <xdr:colOff>28575</xdr:colOff>
      <xdr:row>27</xdr:row>
      <xdr:rowOff>57150</xdr:rowOff>
    </xdr:to>
    <xdr:pic>
      <xdr:nvPicPr>
        <xdr:cNvPr id="8" name="Picture 8" descr="영린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0" y="6648450"/>
          <a:ext cx="10763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323850</xdr:colOff>
      <xdr:row>23</xdr:row>
      <xdr:rowOff>76200</xdr:rowOff>
    </xdr:from>
    <xdr:to>
      <xdr:col>6</xdr:col>
      <xdr:colOff>733425</xdr:colOff>
      <xdr:row>25</xdr:row>
      <xdr:rowOff>9525</xdr:rowOff>
    </xdr:to>
    <xdr:pic>
      <xdr:nvPicPr>
        <xdr:cNvPr id="9" name="Picture 9" descr="TEC-LOG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371850" y="6362700"/>
          <a:ext cx="19335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1704975</xdr:colOff>
      <xdr:row>25</xdr:row>
      <xdr:rowOff>95250</xdr:rowOff>
    </xdr:from>
    <xdr:to>
      <xdr:col>2</xdr:col>
      <xdr:colOff>2802813</xdr:colOff>
      <xdr:row>25</xdr:row>
      <xdr:rowOff>96082</xdr:rowOff>
    </xdr:to>
    <xdr:pic>
      <xdr:nvPicPr>
        <xdr:cNvPr id="10" name="Picture 11" descr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286000" y="6648450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180975</xdr:colOff>
      <xdr:row>1</xdr:row>
      <xdr:rowOff>38100</xdr:rowOff>
    </xdr:from>
    <xdr:to>
      <xdr:col>8</xdr:col>
      <xdr:colOff>0</xdr:colOff>
      <xdr:row>9</xdr:row>
      <xdr:rowOff>38100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>
          <a:grpSpLocks noChangeAspect="1"/>
        </xdr:cNvGrpSpPr>
      </xdr:nvGrpSpPr>
      <xdr:grpSpPr bwMode="auto">
        <a:xfrm>
          <a:off x="3876675" y="628650"/>
          <a:ext cx="3648075" cy="1657350"/>
          <a:chOff x="402" y="86"/>
          <a:chExt cx="386" cy="155"/>
        </a:xfrm>
      </xdr:grpSpPr>
      <xdr:sp macro="" textlink="">
        <xdr:nvSpPr>
          <xdr:cNvPr id="12" name="AutoShape 13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02" y="86"/>
            <a:ext cx="371" cy="154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" name="Rectangle 15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89"/>
            <a:ext cx="278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사업자 등록번호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408 - 07 - 78981</a:t>
            </a:r>
          </a:p>
        </xdr:txBody>
      </xdr:sp>
      <xdr:sp macro="" textlink="">
        <xdr:nvSpPr>
          <xdr:cNvPr id="14" name="Rectangle 16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06"/>
            <a:ext cx="286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상 호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무 진 과 학  대표자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장 재 수</a:t>
            </a:r>
          </a:p>
        </xdr:txBody>
      </xdr:sp>
      <xdr:sp macro="" textlink="">
        <xdr:nvSpPr>
          <xdr:cNvPr id="15" name="Rectangle 17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23"/>
            <a:ext cx="364" cy="3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주 소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광주광역시 북구 두암동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851-12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번지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2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층</a:t>
            </a:r>
            <a:endParaRPr lang="en-US" altLang="ko-KR" sz="1100" b="1" i="0" strike="noStrike">
              <a:solidFill>
                <a:srgbClr val="000000"/>
              </a:solidFill>
              <a:latin typeface="굴림"/>
              <a:ea typeface="굴림"/>
            </a:endParaRPr>
          </a:p>
          <a:p>
            <a:pPr algn="l" rtl="0">
              <a:defRPr sz="1000"/>
            </a:pPr>
            <a:endParaRPr lang="ko-KR" altLang="en-US" sz="1100" b="1" i="0" strike="noStrike">
              <a:solidFill>
                <a:srgbClr val="000000"/>
              </a:solidFill>
              <a:latin typeface="굴림"/>
              <a:ea typeface="굴림"/>
            </a:endParaRPr>
          </a:p>
        </xdr:txBody>
      </xdr:sp>
      <xdr:sp macro="" textlink="">
        <xdr:nvSpPr>
          <xdr:cNvPr id="16" name="Rectangle 18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40"/>
            <a:ext cx="33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업 태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도매   종 목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과학기자재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,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무역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,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시약</a:t>
            </a:r>
          </a:p>
        </xdr:txBody>
      </xdr:sp>
      <xdr:sp macro="" textlink="">
        <xdr:nvSpPr>
          <xdr:cNvPr id="17" name="Rectangle 19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57"/>
            <a:ext cx="218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전 화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062) 267-8535,8534</a:t>
            </a:r>
          </a:p>
        </xdr:txBody>
      </xdr:sp>
      <xdr:sp macro="" textlink="">
        <xdr:nvSpPr>
          <xdr:cNvPr id="18" name="Rectangle 20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74"/>
            <a:ext cx="174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팩 스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 062) 267-8532</a:t>
            </a:r>
          </a:p>
        </xdr:txBody>
      </xdr:sp>
      <xdr:sp macro="" textlink="">
        <xdr:nvSpPr>
          <xdr:cNvPr id="19" name="Rectangle 2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470" y="191"/>
            <a:ext cx="24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altLang="ko-KR" sz="1100" b="1" i="0" strike="noStrike">
                <a:solidFill>
                  <a:srgbClr val="FF0000"/>
                </a:solidFill>
                <a:latin typeface="굴림"/>
                <a:ea typeface="굴림"/>
              </a:rPr>
              <a:t>E-Mail </a:t>
            </a:r>
            <a:r>
              <a:rPr lang="ko-KR" altLang="en-US" sz="1100" b="1" i="0" strike="noStrike">
                <a:solidFill>
                  <a:srgbClr val="FF0000"/>
                </a:solidFill>
                <a:latin typeface="굴림"/>
                <a:ea typeface="굴림"/>
              </a:rPr>
              <a:t>송부시 직인 생략합니다</a:t>
            </a:r>
            <a:r>
              <a:rPr lang="en-US" altLang="ko-KR" sz="1100" b="1" i="0" strike="noStrike">
                <a:solidFill>
                  <a:srgbClr val="FF0000"/>
                </a:solidFill>
                <a:latin typeface="굴림"/>
                <a:ea typeface="굴림"/>
              </a:rPr>
              <a:t>.</a:t>
            </a:r>
          </a:p>
        </xdr:txBody>
      </xdr:sp>
      <xdr:sp macro="" textlink="">
        <xdr:nvSpPr>
          <xdr:cNvPr id="20" name="Rectangle 22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439" y="208"/>
            <a:ext cx="306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altLang="ko-KR" sz="1100" b="1" i="0" strike="noStrike">
                <a:solidFill>
                  <a:srgbClr val="0000FF"/>
                </a:solidFill>
                <a:latin typeface="굴림"/>
                <a:ea typeface="굴림"/>
              </a:rPr>
              <a:t>*WATERS KOREA, </a:t>
            </a:r>
            <a:r>
              <a:rPr lang="ko-KR" altLang="en-US" sz="1100" b="1" i="0" strike="noStrike">
                <a:solidFill>
                  <a:srgbClr val="0000FF"/>
                </a:solidFill>
                <a:latin typeface="굴림"/>
                <a:ea typeface="굴림"/>
              </a:rPr>
              <a:t>영린기기 총판대리점</a:t>
            </a:r>
          </a:p>
        </xdr:txBody>
      </xdr:sp>
      <xdr:sp macro="" textlink="">
        <xdr:nvSpPr>
          <xdr:cNvPr id="21" name="Rectangle 23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Arrowheads="1"/>
          </xdr:cNvSpPr>
        </xdr:nvSpPr>
        <xdr:spPr bwMode="auto">
          <a:xfrm>
            <a:off x="417" y="225"/>
            <a:ext cx="35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altLang="ko-KR" sz="1100" b="1" i="0" strike="noStrike">
                <a:solidFill>
                  <a:srgbClr val="0000FF"/>
                </a:solidFill>
                <a:latin typeface="굴림"/>
                <a:ea typeface="굴림"/>
              </a:rPr>
              <a:t>*BRAN+LUEBBE,ACCUSTANDARD </a:t>
            </a:r>
            <a:r>
              <a:rPr lang="ko-KR" altLang="en-US" sz="1100" b="1" i="0" strike="noStrike">
                <a:solidFill>
                  <a:srgbClr val="0000FF"/>
                </a:solidFill>
                <a:latin typeface="굴림"/>
                <a:ea typeface="굴림"/>
              </a:rPr>
              <a:t>광주대리점</a:t>
            </a:r>
          </a:p>
        </xdr:txBody>
      </xdr:sp>
      <xdr:sp macro="" textlink="">
        <xdr:nvSpPr>
          <xdr:cNvPr id="22" name="Rectangle 24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402" y="86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3" name="Line 25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86"/>
            <a:ext cx="370" cy="1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Rectangle 26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86"/>
            <a:ext cx="370" cy="1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5" name="Rectangle 27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86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6" name="Line 28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03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27" name="Rectangle 29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03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8" name="Line 30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20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29" name="Rectangle 31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20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0" name="Line 32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37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1" name="Rectangle 33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37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2" name="Line 34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54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3" name="Rectangle 35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54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4" name="Line 36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71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5" name="Rectangle 37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71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6" name="Line 38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88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7" name="Rectangle 39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88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8" name="Line 40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205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9" name="Rectangle 41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205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0" name="Line 42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222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41" name="Rectangle 43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222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2" name="Line 44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>
            <a:spLocks noChangeShapeType="1"/>
          </xdr:cNvSpPr>
        </xdr:nvSpPr>
        <xdr:spPr bwMode="auto">
          <a:xfrm>
            <a:off x="402" y="86"/>
            <a:ext cx="1" cy="154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" name="Rectangle 45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402" y="86"/>
            <a:ext cx="1" cy="154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4" name="Line 46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239"/>
            <a:ext cx="370" cy="1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" name="Rectangle 47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239"/>
            <a:ext cx="370" cy="1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6" name="Line 48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772" y="87"/>
            <a:ext cx="1" cy="153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" name="Rectangle 49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87"/>
            <a:ext cx="1" cy="153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8" name="Line 50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402" y="240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49" name="Rectangle 51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02" y="240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0" name="Line 52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772" y="240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1" name="Rectangle 53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240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2" name="Line 54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86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3" name="Rectangle 55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86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4" name="Line 56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03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5" name="Rectangle 57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03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6" name="Line 58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20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7" name="Rectangle 59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20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8" name="Line 60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37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9" name="Rectangle 61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37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0" name="Line 62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54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1" name="Rectangle 63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54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2" name="Line 64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71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3" name="Rectangle 65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71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4" name="Line 66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88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5" name="Rectangle 67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88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6" name="Line 68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205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7" name="Rectangle 69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205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8" name="Line 70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222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9" name="Rectangle 71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222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70" name="Line 72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239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71" name="Rectangle 73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239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</xdr:grpSp>
    <xdr:clientData/>
  </xdr:twoCellAnchor>
  <xdr:twoCellAnchor editAs="oneCell">
    <xdr:from>
      <xdr:col>5</xdr:col>
      <xdr:colOff>19050</xdr:colOff>
      <xdr:row>25</xdr:row>
      <xdr:rowOff>104775</xdr:rowOff>
    </xdr:from>
    <xdr:to>
      <xdr:col>6</xdr:col>
      <xdr:colOff>824103</xdr:colOff>
      <xdr:row>25</xdr:row>
      <xdr:rowOff>105086</xdr:rowOff>
    </xdr:to>
    <xdr:pic>
      <xdr:nvPicPr>
        <xdr:cNvPr id="73" name="그림 72" descr="n_img2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829050" y="6657975"/>
          <a:ext cx="15049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38100</xdr:colOff>
      <xdr:row>23</xdr:row>
      <xdr:rowOff>47625</xdr:rowOff>
    </xdr:from>
    <xdr:to>
      <xdr:col>2</xdr:col>
      <xdr:colOff>1243203</xdr:colOff>
      <xdr:row>23</xdr:row>
      <xdr:rowOff>47956</xdr:rowOff>
    </xdr:to>
    <xdr:pic>
      <xdr:nvPicPr>
        <xdr:cNvPr id="74" name="그림 73" descr="n_img4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562100" y="6334125"/>
          <a:ext cx="7239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942975</xdr:colOff>
      <xdr:row>23</xdr:row>
      <xdr:rowOff>47625</xdr:rowOff>
    </xdr:from>
    <xdr:to>
      <xdr:col>7</xdr:col>
      <xdr:colOff>870204</xdr:colOff>
      <xdr:row>23</xdr:row>
      <xdr:rowOff>48056</xdr:rowOff>
    </xdr:to>
    <xdr:pic>
      <xdr:nvPicPr>
        <xdr:cNvPr id="75" name="그림 74" descr="오디랩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334000" y="6334125"/>
          <a:ext cx="7620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847725</xdr:colOff>
      <xdr:row>25</xdr:row>
      <xdr:rowOff>66675</xdr:rowOff>
    </xdr:from>
    <xdr:to>
      <xdr:col>7</xdr:col>
      <xdr:colOff>842391</xdr:colOff>
      <xdr:row>25</xdr:row>
      <xdr:rowOff>67006</xdr:rowOff>
    </xdr:to>
    <xdr:pic>
      <xdr:nvPicPr>
        <xdr:cNvPr id="76" name="그림 75" descr="main_14.gi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334000" y="6619875"/>
          <a:ext cx="76200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123824</xdr:colOff>
      <xdr:row>1</xdr:row>
      <xdr:rowOff>95250</xdr:rowOff>
    </xdr:from>
    <xdr:to>
      <xdr:col>7</xdr:col>
      <xdr:colOff>769620</xdr:colOff>
      <xdr:row>4</xdr:row>
      <xdr:rowOff>114627</xdr:rowOff>
    </xdr:to>
    <xdr:pic>
      <xdr:nvPicPr>
        <xdr:cNvPr id="77" name="그림 76" descr="도장2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clrChange>
            <a:clrFrom>
              <a:srgbClr val="FFF6FB"/>
            </a:clrFrom>
            <a:clrTo>
              <a:srgbClr val="FFF6FB">
                <a:alpha val="0"/>
              </a:srgbClr>
            </a:clrTo>
          </a:clrChange>
        </a:blip>
        <a:stretch>
          <a:fillRect/>
        </a:stretch>
      </xdr:blipFill>
      <xdr:spPr>
        <a:xfrm>
          <a:off x="5915024" y="681990"/>
          <a:ext cx="645796" cy="5984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2</xdr:col>
      <xdr:colOff>1044702</xdr:colOff>
      <xdr:row>0</xdr:row>
      <xdr:rowOff>323850</xdr:rowOff>
    </xdr:to>
    <xdr:pic>
      <xdr:nvPicPr>
        <xdr:cNvPr id="2" name="Picture 1" descr="무진과학로고최종수정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050"/>
          <a:ext cx="1444752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3305175</xdr:colOff>
      <xdr:row>30</xdr:row>
      <xdr:rowOff>200025</xdr:rowOff>
    </xdr:from>
    <xdr:to>
      <xdr:col>2</xdr:col>
      <xdr:colOff>5200650</xdr:colOff>
      <xdr:row>32</xdr:row>
      <xdr:rowOff>219075</xdr:rowOff>
    </xdr:to>
    <xdr:pic>
      <xdr:nvPicPr>
        <xdr:cNvPr id="3" name="Picture 3" descr="영린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86000" y="7429500"/>
          <a:ext cx="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200025</xdr:colOff>
      <xdr:row>25</xdr:row>
      <xdr:rowOff>104775</xdr:rowOff>
    </xdr:from>
    <xdr:to>
      <xdr:col>2</xdr:col>
      <xdr:colOff>1463040</xdr:colOff>
      <xdr:row>25</xdr:row>
      <xdr:rowOff>105607</xdr:rowOff>
    </xdr:to>
    <xdr:pic>
      <xdr:nvPicPr>
        <xdr:cNvPr id="4" name="Picture 4" descr="EMB00000d40000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62025" y="6657975"/>
          <a:ext cx="13239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3124200</xdr:colOff>
      <xdr:row>23</xdr:row>
      <xdr:rowOff>219075</xdr:rowOff>
    </xdr:from>
    <xdr:to>
      <xdr:col>2</xdr:col>
      <xdr:colOff>4724400</xdr:colOff>
      <xdr:row>25</xdr:row>
      <xdr:rowOff>76200</xdr:rowOff>
    </xdr:to>
    <xdr:pic>
      <xdr:nvPicPr>
        <xdr:cNvPr id="5" name="Picture 5" descr="TEC-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86000" y="64198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2647950</xdr:colOff>
      <xdr:row>23</xdr:row>
      <xdr:rowOff>76200</xdr:rowOff>
    </xdr:from>
    <xdr:to>
      <xdr:col>3</xdr:col>
      <xdr:colOff>869442</xdr:colOff>
      <xdr:row>23</xdr:row>
      <xdr:rowOff>76912</xdr:rowOff>
    </xdr:to>
    <xdr:pic>
      <xdr:nvPicPr>
        <xdr:cNvPr id="6" name="Picture 6" descr="hom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286000" y="6362700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1428750</xdr:colOff>
      <xdr:row>23</xdr:row>
      <xdr:rowOff>28575</xdr:rowOff>
    </xdr:from>
    <xdr:to>
      <xdr:col>2</xdr:col>
      <xdr:colOff>2178939</xdr:colOff>
      <xdr:row>23</xdr:row>
      <xdr:rowOff>29006</xdr:rowOff>
    </xdr:to>
    <xdr:pic>
      <xdr:nvPicPr>
        <xdr:cNvPr id="7" name="Picture 7" descr="Waters Corporation-Laboratory solutions for HPLC, chromatography, mass spectrometry, and laboratory informatics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286000" y="631507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476250</xdr:colOff>
      <xdr:row>25</xdr:row>
      <xdr:rowOff>95250</xdr:rowOff>
    </xdr:from>
    <xdr:to>
      <xdr:col>5</xdr:col>
      <xdr:colOff>28575</xdr:colOff>
      <xdr:row>27</xdr:row>
      <xdr:rowOff>57150</xdr:rowOff>
    </xdr:to>
    <xdr:pic>
      <xdr:nvPicPr>
        <xdr:cNvPr id="8" name="Picture 8" descr="영린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0" y="6648450"/>
          <a:ext cx="10763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323850</xdr:colOff>
      <xdr:row>23</xdr:row>
      <xdr:rowOff>76200</xdr:rowOff>
    </xdr:from>
    <xdr:to>
      <xdr:col>6</xdr:col>
      <xdr:colOff>733425</xdr:colOff>
      <xdr:row>25</xdr:row>
      <xdr:rowOff>9525</xdr:rowOff>
    </xdr:to>
    <xdr:pic>
      <xdr:nvPicPr>
        <xdr:cNvPr id="9" name="Picture 9" descr="TEC-LOG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371850" y="6362700"/>
          <a:ext cx="19335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1704975</xdr:colOff>
      <xdr:row>25</xdr:row>
      <xdr:rowOff>95250</xdr:rowOff>
    </xdr:from>
    <xdr:to>
      <xdr:col>2</xdr:col>
      <xdr:colOff>2802813</xdr:colOff>
      <xdr:row>25</xdr:row>
      <xdr:rowOff>96082</xdr:rowOff>
    </xdr:to>
    <xdr:pic>
      <xdr:nvPicPr>
        <xdr:cNvPr id="10" name="Picture 11" descr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286000" y="6648450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180975</xdr:colOff>
      <xdr:row>1</xdr:row>
      <xdr:rowOff>38100</xdr:rowOff>
    </xdr:from>
    <xdr:to>
      <xdr:col>8</xdr:col>
      <xdr:colOff>0</xdr:colOff>
      <xdr:row>9</xdr:row>
      <xdr:rowOff>38100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>
          <a:grpSpLocks noChangeAspect="1"/>
        </xdr:cNvGrpSpPr>
      </xdr:nvGrpSpPr>
      <xdr:grpSpPr bwMode="auto">
        <a:xfrm>
          <a:off x="3876675" y="628650"/>
          <a:ext cx="3648075" cy="1657350"/>
          <a:chOff x="402" y="86"/>
          <a:chExt cx="386" cy="155"/>
        </a:xfrm>
      </xdr:grpSpPr>
      <xdr:sp macro="" textlink="">
        <xdr:nvSpPr>
          <xdr:cNvPr id="12" name="AutoShape 13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02" y="86"/>
            <a:ext cx="371" cy="154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" name="Rectangle 15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89"/>
            <a:ext cx="278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사업자 등록번호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408 - 07 - 78981</a:t>
            </a:r>
          </a:p>
        </xdr:txBody>
      </xdr:sp>
      <xdr:sp macro="" textlink="">
        <xdr:nvSpPr>
          <xdr:cNvPr id="14" name="Rectangle 16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06"/>
            <a:ext cx="286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상 호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무 진 과 학  대표자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장 재 수</a:t>
            </a:r>
          </a:p>
        </xdr:txBody>
      </xdr:sp>
      <xdr:sp macro="" textlink="">
        <xdr:nvSpPr>
          <xdr:cNvPr id="15" name="Rectangle 17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23"/>
            <a:ext cx="364" cy="3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주 소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광주광역시 북구 두암동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851-12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번지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2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층</a:t>
            </a:r>
            <a:endParaRPr lang="en-US" altLang="ko-KR" sz="1100" b="1" i="0" strike="noStrike">
              <a:solidFill>
                <a:srgbClr val="000000"/>
              </a:solidFill>
              <a:latin typeface="굴림"/>
              <a:ea typeface="굴림"/>
            </a:endParaRPr>
          </a:p>
          <a:p>
            <a:pPr algn="l" rtl="0">
              <a:defRPr sz="1000"/>
            </a:pPr>
            <a:endParaRPr lang="ko-KR" altLang="en-US" sz="1100" b="1" i="0" strike="noStrike">
              <a:solidFill>
                <a:srgbClr val="000000"/>
              </a:solidFill>
              <a:latin typeface="굴림"/>
              <a:ea typeface="굴림"/>
            </a:endParaRPr>
          </a:p>
        </xdr:txBody>
      </xdr:sp>
      <xdr:sp macro="" textlink="">
        <xdr:nvSpPr>
          <xdr:cNvPr id="16" name="Rectangle 18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40"/>
            <a:ext cx="33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업 태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도매   종 목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과학기자재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,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무역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,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시약</a:t>
            </a:r>
          </a:p>
        </xdr:txBody>
      </xdr:sp>
      <xdr:sp macro="" textlink="">
        <xdr:nvSpPr>
          <xdr:cNvPr id="17" name="Rectangle 19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57"/>
            <a:ext cx="218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전 화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062) 267-8535,8534</a:t>
            </a:r>
          </a:p>
        </xdr:txBody>
      </xdr:sp>
      <xdr:sp macro="" textlink="">
        <xdr:nvSpPr>
          <xdr:cNvPr id="18" name="Rectangle 20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74"/>
            <a:ext cx="174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팩 스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 062) 267-8532</a:t>
            </a:r>
          </a:p>
        </xdr:txBody>
      </xdr:sp>
      <xdr:sp macro="" textlink="">
        <xdr:nvSpPr>
          <xdr:cNvPr id="19" name="Rectangle 2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470" y="191"/>
            <a:ext cx="24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altLang="ko-KR" sz="1100" b="1" i="0" strike="noStrike">
                <a:solidFill>
                  <a:srgbClr val="FF0000"/>
                </a:solidFill>
                <a:latin typeface="굴림"/>
                <a:ea typeface="굴림"/>
              </a:rPr>
              <a:t>E-Mail </a:t>
            </a:r>
            <a:r>
              <a:rPr lang="ko-KR" altLang="en-US" sz="1100" b="1" i="0" strike="noStrike">
                <a:solidFill>
                  <a:srgbClr val="FF0000"/>
                </a:solidFill>
                <a:latin typeface="굴림"/>
                <a:ea typeface="굴림"/>
              </a:rPr>
              <a:t>송부시 직인 생략합니다</a:t>
            </a:r>
            <a:r>
              <a:rPr lang="en-US" altLang="ko-KR" sz="1100" b="1" i="0" strike="noStrike">
                <a:solidFill>
                  <a:srgbClr val="FF0000"/>
                </a:solidFill>
                <a:latin typeface="굴림"/>
                <a:ea typeface="굴림"/>
              </a:rPr>
              <a:t>.</a:t>
            </a:r>
          </a:p>
        </xdr:txBody>
      </xdr:sp>
      <xdr:sp macro="" textlink="">
        <xdr:nvSpPr>
          <xdr:cNvPr id="20" name="Rectangle 22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439" y="208"/>
            <a:ext cx="306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altLang="ko-KR" sz="1100" b="1" i="0" strike="noStrike">
                <a:solidFill>
                  <a:srgbClr val="0000FF"/>
                </a:solidFill>
                <a:latin typeface="굴림"/>
                <a:ea typeface="굴림"/>
              </a:rPr>
              <a:t>*WATERS KOREA, </a:t>
            </a:r>
            <a:r>
              <a:rPr lang="ko-KR" altLang="en-US" sz="1100" b="1" i="0" strike="noStrike">
                <a:solidFill>
                  <a:srgbClr val="0000FF"/>
                </a:solidFill>
                <a:latin typeface="굴림"/>
                <a:ea typeface="굴림"/>
              </a:rPr>
              <a:t>영린기기 총판대리점</a:t>
            </a:r>
          </a:p>
        </xdr:txBody>
      </xdr:sp>
      <xdr:sp macro="" textlink="">
        <xdr:nvSpPr>
          <xdr:cNvPr id="21" name="Rectangle 23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Arrowheads="1"/>
          </xdr:cNvSpPr>
        </xdr:nvSpPr>
        <xdr:spPr bwMode="auto">
          <a:xfrm>
            <a:off x="417" y="225"/>
            <a:ext cx="35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altLang="ko-KR" sz="1100" b="1" i="0" strike="noStrike">
                <a:solidFill>
                  <a:srgbClr val="0000FF"/>
                </a:solidFill>
                <a:latin typeface="굴림"/>
                <a:ea typeface="굴림"/>
              </a:rPr>
              <a:t>*BRAN+LUEBBE,ACCUSTANDARD </a:t>
            </a:r>
            <a:r>
              <a:rPr lang="ko-KR" altLang="en-US" sz="1100" b="1" i="0" strike="noStrike">
                <a:solidFill>
                  <a:srgbClr val="0000FF"/>
                </a:solidFill>
                <a:latin typeface="굴림"/>
                <a:ea typeface="굴림"/>
              </a:rPr>
              <a:t>광주대리점</a:t>
            </a:r>
          </a:p>
        </xdr:txBody>
      </xdr:sp>
      <xdr:sp macro="" textlink="">
        <xdr:nvSpPr>
          <xdr:cNvPr id="22" name="Rectangle 24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402" y="86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3" name="Line 25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86"/>
            <a:ext cx="370" cy="1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Rectangle 26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86"/>
            <a:ext cx="370" cy="1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5" name="Rectangle 27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86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6" name="Line 28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03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27" name="Rectangle 29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03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8" name="Line 30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20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29" name="Rectangle 31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20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0" name="Line 32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37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1" name="Rectangle 33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37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2" name="Line 34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54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3" name="Rectangle 35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54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4" name="Line 36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71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5" name="Rectangle 37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71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6" name="Line 38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88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7" name="Rectangle 39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88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8" name="Line 40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205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9" name="Rectangle 41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205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0" name="Line 42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222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41" name="Rectangle 43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222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2" name="Line 44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>
            <a:spLocks noChangeShapeType="1"/>
          </xdr:cNvSpPr>
        </xdr:nvSpPr>
        <xdr:spPr bwMode="auto">
          <a:xfrm>
            <a:off x="402" y="86"/>
            <a:ext cx="1" cy="154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" name="Rectangle 45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402" y="86"/>
            <a:ext cx="1" cy="154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4" name="Line 46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239"/>
            <a:ext cx="370" cy="1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" name="Rectangle 47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239"/>
            <a:ext cx="370" cy="1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6" name="Line 48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772" y="87"/>
            <a:ext cx="1" cy="153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" name="Rectangle 49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87"/>
            <a:ext cx="1" cy="153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8" name="Line 50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402" y="240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49" name="Rectangle 51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02" y="240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0" name="Line 52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772" y="240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1" name="Rectangle 53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240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2" name="Line 54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86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3" name="Rectangle 55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86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4" name="Line 56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03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5" name="Rectangle 57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03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6" name="Line 58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20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7" name="Rectangle 59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20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8" name="Line 60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37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9" name="Rectangle 61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37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0" name="Line 62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54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1" name="Rectangle 63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54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2" name="Line 64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71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3" name="Rectangle 65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71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4" name="Line 66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88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5" name="Rectangle 67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88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6" name="Line 68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205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7" name="Rectangle 69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205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8" name="Line 70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222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9" name="Rectangle 71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222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70" name="Line 72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239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71" name="Rectangle 73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239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</xdr:grpSp>
    <xdr:clientData/>
  </xdr:twoCellAnchor>
  <xdr:twoCellAnchor editAs="oneCell">
    <xdr:from>
      <xdr:col>5</xdr:col>
      <xdr:colOff>19050</xdr:colOff>
      <xdr:row>25</xdr:row>
      <xdr:rowOff>104775</xdr:rowOff>
    </xdr:from>
    <xdr:to>
      <xdr:col>6</xdr:col>
      <xdr:colOff>824103</xdr:colOff>
      <xdr:row>25</xdr:row>
      <xdr:rowOff>105086</xdr:rowOff>
    </xdr:to>
    <xdr:pic>
      <xdr:nvPicPr>
        <xdr:cNvPr id="73" name="그림 72" descr="n_img2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829050" y="6657975"/>
          <a:ext cx="15049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38100</xdr:colOff>
      <xdr:row>23</xdr:row>
      <xdr:rowOff>47625</xdr:rowOff>
    </xdr:from>
    <xdr:to>
      <xdr:col>2</xdr:col>
      <xdr:colOff>1243203</xdr:colOff>
      <xdr:row>23</xdr:row>
      <xdr:rowOff>47956</xdr:rowOff>
    </xdr:to>
    <xdr:pic>
      <xdr:nvPicPr>
        <xdr:cNvPr id="74" name="그림 73" descr="n_img4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562100" y="6334125"/>
          <a:ext cx="7239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942975</xdr:colOff>
      <xdr:row>23</xdr:row>
      <xdr:rowOff>47625</xdr:rowOff>
    </xdr:from>
    <xdr:to>
      <xdr:col>7</xdr:col>
      <xdr:colOff>870204</xdr:colOff>
      <xdr:row>23</xdr:row>
      <xdr:rowOff>48056</xdr:rowOff>
    </xdr:to>
    <xdr:pic>
      <xdr:nvPicPr>
        <xdr:cNvPr id="75" name="그림 74" descr="오디랩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334000" y="6334125"/>
          <a:ext cx="7620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847725</xdr:colOff>
      <xdr:row>25</xdr:row>
      <xdr:rowOff>66675</xdr:rowOff>
    </xdr:from>
    <xdr:to>
      <xdr:col>7</xdr:col>
      <xdr:colOff>842391</xdr:colOff>
      <xdr:row>25</xdr:row>
      <xdr:rowOff>67006</xdr:rowOff>
    </xdr:to>
    <xdr:pic>
      <xdr:nvPicPr>
        <xdr:cNvPr id="76" name="그림 75" descr="main_14.gi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334000" y="6619875"/>
          <a:ext cx="76200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123824</xdr:colOff>
      <xdr:row>1</xdr:row>
      <xdr:rowOff>95250</xdr:rowOff>
    </xdr:from>
    <xdr:to>
      <xdr:col>7</xdr:col>
      <xdr:colOff>769620</xdr:colOff>
      <xdr:row>4</xdr:row>
      <xdr:rowOff>114627</xdr:rowOff>
    </xdr:to>
    <xdr:pic>
      <xdr:nvPicPr>
        <xdr:cNvPr id="77" name="그림 76" descr="도장2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clrChange>
            <a:clrFrom>
              <a:srgbClr val="FFF6FB"/>
            </a:clrFrom>
            <a:clrTo>
              <a:srgbClr val="FFF6FB">
                <a:alpha val="0"/>
              </a:srgbClr>
            </a:clrTo>
          </a:clrChange>
        </a:blip>
        <a:stretch>
          <a:fillRect/>
        </a:stretch>
      </xdr:blipFill>
      <xdr:spPr>
        <a:xfrm>
          <a:off x="5915024" y="681990"/>
          <a:ext cx="645796" cy="5984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2</xdr:col>
      <xdr:colOff>1044702</xdr:colOff>
      <xdr:row>0</xdr:row>
      <xdr:rowOff>323850</xdr:rowOff>
    </xdr:to>
    <xdr:pic>
      <xdr:nvPicPr>
        <xdr:cNvPr id="2" name="Picture 1" descr="무진과학로고최종수정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050"/>
          <a:ext cx="1444752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3305175</xdr:colOff>
      <xdr:row>30</xdr:row>
      <xdr:rowOff>200025</xdr:rowOff>
    </xdr:from>
    <xdr:to>
      <xdr:col>2</xdr:col>
      <xdr:colOff>5200650</xdr:colOff>
      <xdr:row>32</xdr:row>
      <xdr:rowOff>219075</xdr:rowOff>
    </xdr:to>
    <xdr:pic>
      <xdr:nvPicPr>
        <xdr:cNvPr id="3" name="Picture 3" descr="영린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86000" y="7429500"/>
          <a:ext cx="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200025</xdr:colOff>
      <xdr:row>25</xdr:row>
      <xdr:rowOff>104775</xdr:rowOff>
    </xdr:from>
    <xdr:to>
      <xdr:col>2</xdr:col>
      <xdr:colOff>1463040</xdr:colOff>
      <xdr:row>25</xdr:row>
      <xdr:rowOff>105607</xdr:rowOff>
    </xdr:to>
    <xdr:pic>
      <xdr:nvPicPr>
        <xdr:cNvPr id="4" name="Picture 4" descr="EMB00000d40000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62025" y="6657975"/>
          <a:ext cx="13239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3124200</xdr:colOff>
      <xdr:row>23</xdr:row>
      <xdr:rowOff>219075</xdr:rowOff>
    </xdr:from>
    <xdr:to>
      <xdr:col>2</xdr:col>
      <xdr:colOff>4724400</xdr:colOff>
      <xdr:row>25</xdr:row>
      <xdr:rowOff>76200</xdr:rowOff>
    </xdr:to>
    <xdr:pic>
      <xdr:nvPicPr>
        <xdr:cNvPr id="5" name="Picture 5" descr="TEC-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86000" y="64198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2647950</xdr:colOff>
      <xdr:row>23</xdr:row>
      <xdr:rowOff>76200</xdr:rowOff>
    </xdr:from>
    <xdr:to>
      <xdr:col>3</xdr:col>
      <xdr:colOff>869442</xdr:colOff>
      <xdr:row>23</xdr:row>
      <xdr:rowOff>76912</xdr:rowOff>
    </xdr:to>
    <xdr:pic>
      <xdr:nvPicPr>
        <xdr:cNvPr id="6" name="Picture 6" descr="hom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286000" y="6362700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1428750</xdr:colOff>
      <xdr:row>23</xdr:row>
      <xdr:rowOff>28575</xdr:rowOff>
    </xdr:from>
    <xdr:to>
      <xdr:col>2</xdr:col>
      <xdr:colOff>2178939</xdr:colOff>
      <xdr:row>23</xdr:row>
      <xdr:rowOff>29006</xdr:rowOff>
    </xdr:to>
    <xdr:pic>
      <xdr:nvPicPr>
        <xdr:cNvPr id="7" name="Picture 7" descr="Waters Corporation-Laboratory solutions for HPLC, chromatography, mass spectrometry, and laboratory informatics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286000" y="631507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476250</xdr:colOff>
      <xdr:row>25</xdr:row>
      <xdr:rowOff>95250</xdr:rowOff>
    </xdr:from>
    <xdr:to>
      <xdr:col>5</xdr:col>
      <xdr:colOff>28575</xdr:colOff>
      <xdr:row>27</xdr:row>
      <xdr:rowOff>57150</xdr:rowOff>
    </xdr:to>
    <xdr:pic>
      <xdr:nvPicPr>
        <xdr:cNvPr id="8" name="Picture 8" descr="영린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0" y="6648450"/>
          <a:ext cx="10763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323850</xdr:colOff>
      <xdr:row>23</xdr:row>
      <xdr:rowOff>76200</xdr:rowOff>
    </xdr:from>
    <xdr:to>
      <xdr:col>6</xdr:col>
      <xdr:colOff>733425</xdr:colOff>
      <xdr:row>25</xdr:row>
      <xdr:rowOff>9525</xdr:rowOff>
    </xdr:to>
    <xdr:pic>
      <xdr:nvPicPr>
        <xdr:cNvPr id="9" name="Picture 9" descr="TEC-LOG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371850" y="6362700"/>
          <a:ext cx="19335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1704975</xdr:colOff>
      <xdr:row>25</xdr:row>
      <xdr:rowOff>95250</xdr:rowOff>
    </xdr:from>
    <xdr:to>
      <xdr:col>2</xdr:col>
      <xdr:colOff>2802813</xdr:colOff>
      <xdr:row>25</xdr:row>
      <xdr:rowOff>96082</xdr:rowOff>
    </xdr:to>
    <xdr:pic>
      <xdr:nvPicPr>
        <xdr:cNvPr id="10" name="Picture 11" descr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286000" y="6648450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180975</xdr:colOff>
      <xdr:row>1</xdr:row>
      <xdr:rowOff>38100</xdr:rowOff>
    </xdr:from>
    <xdr:to>
      <xdr:col>8</xdr:col>
      <xdr:colOff>0</xdr:colOff>
      <xdr:row>9</xdr:row>
      <xdr:rowOff>38100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>
          <a:grpSpLocks noChangeAspect="1"/>
        </xdr:cNvGrpSpPr>
      </xdr:nvGrpSpPr>
      <xdr:grpSpPr bwMode="auto">
        <a:xfrm>
          <a:off x="3876675" y="628650"/>
          <a:ext cx="3648075" cy="1657350"/>
          <a:chOff x="402" y="86"/>
          <a:chExt cx="386" cy="155"/>
        </a:xfrm>
      </xdr:grpSpPr>
      <xdr:sp macro="" textlink="">
        <xdr:nvSpPr>
          <xdr:cNvPr id="12" name="AutoShape 13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02" y="86"/>
            <a:ext cx="371" cy="154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" name="Rectangle 15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89"/>
            <a:ext cx="278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사업자 등록번호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408 - 07 - 78981</a:t>
            </a:r>
          </a:p>
        </xdr:txBody>
      </xdr:sp>
      <xdr:sp macro="" textlink="">
        <xdr:nvSpPr>
          <xdr:cNvPr id="14" name="Rectangle 16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06"/>
            <a:ext cx="286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상 호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무 진 과 학  대표자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장 재 수</a:t>
            </a:r>
          </a:p>
        </xdr:txBody>
      </xdr:sp>
      <xdr:sp macro="" textlink="">
        <xdr:nvSpPr>
          <xdr:cNvPr id="15" name="Rectangle 17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23"/>
            <a:ext cx="364" cy="3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주 소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광주광역시 북구 두암동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851-12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번지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2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층</a:t>
            </a:r>
            <a:endParaRPr lang="en-US" altLang="ko-KR" sz="1100" b="1" i="0" strike="noStrike">
              <a:solidFill>
                <a:srgbClr val="000000"/>
              </a:solidFill>
              <a:latin typeface="굴림"/>
              <a:ea typeface="굴림"/>
            </a:endParaRPr>
          </a:p>
          <a:p>
            <a:pPr algn="l" rtl="0">
              <a:defRPr sz="1000"/>
            </a:pPr>
            <a:endParaRPr lang="ko-KR" altLang="en-US" sz="1100" b="1" i="0" strike="noStrike">
              <a:solidFill>
                <a:srgbClr val="000000"/>
              </a:solidFill>
              <a:latin typeface="굴림"/>
              <a:ea typeface="굴림"/>
            </a:endParaRPr>
          </a:p>
        </xdr:txBody>
      </xdr:sp>
      <xdr:sp macro="" textlink="">
        <xdr:nvSpPr>
          <xdr:cNvPr id="16" name="Rectangle 18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40"/>
            <a:ext cx="33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업 태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도매   종 목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과학기자재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,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무역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,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시약</a:t>
            </a:r>
          </a:p>
        </xdr:txBody>
      </xdr:sp>
      <xdr:sp macro="" textlink="">
        <xdr:nvSpPr>
          <xdr:cNvPr id="17" name="Rectangle 19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57"/>
            <a:ext cx="218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전 화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062) 267-8535,8534</a:t>
            </a:r>
          </a:p>
        </xdr:txBody>
      </xdr:sp>
      <xdr:sp macro="" textlink="">
        <xdr:nvSpPr>
          <xdr:cNvPr id="18" name="Rectangle 20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74"/>
            <a:ext cx="174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팩 스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 062) 267-8532</a:t>
            </a:r>
          </a:p>
        </xdr:txBody>
      </xdr:sp>
      <xdr:sp macro="" textlink="">
        <xdr:nvSpPr>
          <xdr:cNvPr id="19" name="Rectangle 2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470" y="191"/>
            <a:ext cx="24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altLang="ko-KR" sz="1100" b="1" i="0" strike="noStrike">
                <a:solidFill>
                  <a:srgbClr val="FF0000"/>
                </a:solidFill>
                <a:latin typeface="굴림"/>
                <a:ea typeface="굴림"/>
              </a:rPr>
              <a:t>E-Mail </a:t>
            </a:r>
            <a:r>
              <a:rPr lang="ko-KR" altLang="en-US" sz="1100" b="1" i="0" strike="noStrike">
                <a:solidFill>
                  <a:srgbClr val="FF0000"/>
                </a:solidFill>
                <a:latin typeface="굴림"/>
                <a:ea typeface="굴림"/>
              </a:rPr>
              <a:t>송부시 직인 생략합니다</a:t>
            </a:r>
            <a:r>
              <a:rPr lang="en-US" altLang="ko-KR" sz="1100" b="1" i="0" strike="noStrike">
                <a:solidFill>
                  <a:srgbClr val="FF0000"/>
                </a:solidFill>
                <a:latin typeface="굴림"/>
                <a:ea typeface="굴림"/>
              </a:rPr>
              <a:t>.</a:t>
            </a:r>
          </a:p>
        </xdr:txBody>
      </xdr:sp>
      <xdr:sp macro="" textlink="">
        <xdr:nvSpPr>
          <xdr:cNvPr id="20" name="Rectangle 22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439" y="208"/>
            <a:ext cx="306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altLang="ko-KR" sz="1100" b="1" i="0" strike="noStrike">
                <a:solidFill>
                  <a:srgbClr val="0000FF"/>
                </a:solidFill>
                <a:latin typeface="굴림"/>
                <a:ea typeface="굴림"/>
              </a:rPr>
              <a:t>*WATERS KOREA, </a:t>
            </a:r>
            <a:r>
              <a:rPr lang="ko-KR" altLang="en-US" sz="1100" b="1" i="0" strike="noStrike">
                <a:solidFill>
                  <a:srgbClr val="0000FF"/>
                </a:solidFill>
                <a:latin typeface="굴림"/>
                <a:ea typeface="굴림"/>
              </a:rPr>
              <a:t>영린기기 총판대리점</a:t>
            </a:r>
          </a:p>
        </xdr:txBody>
      </xdr:sp>
      <xdr:sp macro="" textlink="">
        <xdr:nvSpPr>
          <xdr:cNvPr id="21" name="Rectangle 23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Arrowheads="1"/>
          </xdr:cNvSpPr>
        </xdr:nvSpPr>
        <xdr:spPr bwMode="auto">
          <a:xfrm>
            <a:off x="417" y="225"/>
            <a:ext cx="35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altLang="ko-KR" sz="1100" b="1" i="0" strike="noStrike">
                <a:solidFill>
                  <a:srgbClr val="0000FF"/>
                </a:solidFill>
                <a:latin typeface="굴림"/>
                <a:ea typeface="굴림"/>
              </a:rPr>
              <a:t>*BRAN+LUEBBE,ACCUSTANDARD </a:t>
            </a:r>
            <a:r>
              <a:rPr lang="ko-KR" altLang="en-US" sz="1100" b="1" i="0" strike="noStrike">
                <a:solidFill>
                  <a:srgbClr val="0000FF"/>
                </a:solidFill>
                <a:latin typeface="굴림"/>
                <a:ea typeface="굴림"/>
              </a:rPr>
              <a:t>광주대리점</a:t>
            </a:r>
          </a:p>
        </xdr:txBody>
      </xdr:sp>
      <xdr:sp macro="" textlink="">
        <xdr:nvSpPr>
          <xdr:cNvPr id="22" name="Rectangle 24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402" y="86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3" name="Line 25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86"/>
            <a:ext cx="370" cy="1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Rectangle 26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86"/>
            <a:ext cx="370" cy="1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5" name="Rectangle 27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86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6" name="Line 28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03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27" name="Rectangle 29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03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8" name="Line 30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20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29" name="Rectangle 31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20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0" name="Line 32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37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1" name="Rectangle 33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37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2" name="Line 34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54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3" name="Rectangle 35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54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4" name="Line 36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71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5" name="Rectangle 37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71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6" name="Line 38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88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7" name="Rectangle 39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88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8" name="Line 40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205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9" name="Rectangle 41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205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0" name="Line 42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222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41" name="Rectangle 43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222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2" name="Line 44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>
            <a:spLocks noChangeShapeType="1"/>
          </xdr:cNvSpPr>
        </xdr:nvSpPr>
        <xdr:spPr bwMode="auto">
          <a:xfrm>
            <a:off x="402" y="86"/>
            <a:ext cx="1" cy="154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" name="Rectangle 45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402" y="86"/>
            <a:ext cx="1" cy="154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4" name="Line 46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239"/>
            <a:ext cx="370" cy="1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" name="Rectangle 47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239"/>
            <a:ext cx="370" cy="1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6" name="Line 48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772" y="87"/>
            <a:ext cx="1" cy="153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" name="Rectangle 49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87"/>
            <a:ext cx="1" cy="153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8" name="Line 50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402" y="240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49" name="Rectangle 51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02" y="240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0" name="Line 52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772" y="240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1" name="Rectangle 53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240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2" name="Line 54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86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3" name="Rectangle 55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86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4" name="Line 56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03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5" name="Rectangle 57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03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6" name="Line 58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20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7" name="Rectangle 59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20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8" name="Line 60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37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9" name="Rectangle 61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37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0" name="Line 62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54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1" name="Rectangle 63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54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2" name="Line 64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71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3" name="Rectangle 65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71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4" name="Line 66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88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5" name="Rectangle 67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88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6" name="Line 68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205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7" name="Rectangle 69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205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8" name="Line 70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222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9" name="Rectangle 71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222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70" name="Line 72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239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71" name="Rectangle 73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239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</xdr:grpSp>
    <xdr:clientData/>
  </xdr:twoCellAnchor>
  <xdr:twoCellAnchor editAs="oneCell">
    <xdr:from>
      <xdr:col>5</xdr:col>
      <xdr:colOff>19050</xdr:colOff>
      <xdr:row>25</xdr:row>
      <xdr:rowOff>104775</xdr:rowOff>
    </xdr:from>
    <xdr:to>
      <xdr:col>6</xdr:col>
      <xdr:colOff>824103</xdr:colOff>
      <xdr:row>25</xdr:row>
      <xdr:rowOff>105086</xdr:rowOff>
    </xdr:to>
    <xdr:pic>
      <xdr:nvPicPr>
        <xdr:cNvPr id="73" name="그림 72" descr="n_img2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829050" y="6657975"/>
          <a:ext cx="15049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38100</xdr:colOff>
      <xdr:row>23</xdr:row>
      <xdr:rowOff>47625</xdr:rowOff>
    </xdr:from>
    <xdr:to>
      <xdr:col>2</xdr:col>
      <xdr:colOff>1243203</xdr:colOff>
      <xdr:row>23</xdr:row>
      <xdr:rowOff>47956</xdr:rowOff>
    </xdr:to>
    <xdr:pic>
      <xdr:nvPicPr>
        <xdr:cNvPr id="74" name="그림 73" descr="n_img4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562100" y="6334125"/>
          <a:ext cx="7239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942975</xdr:colOff>
      <xdr:row>23</xdr:row>
      <xdr:rowOff>47625</xdr:rowOff>
    </xdr:from>
    <xdr:to>
      <xdr:col>7</xdr:col>
      <xdr:colOff>870204</xdr:colOff>
      <xdr:row>23</xdr:row>
      <xdr:rowOff>48056</xdr:rowOff>
    </xdr:to>
    <xdr:pic>
      <xdr:nvPicPr>
        <xdr:cNvPr id="75" name="그림 74" descr="오디랩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334000" y="6334125"/>
          <a:ext cx="7620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847725</xdr:colOff>
      <xdr:row>25</xdr:row>
      <xdr:rowOff>66675</xdr:rowOff>
    </xdr:from>
    <xdr:to>
      <xdr:col>7</xdr:col>
      <xdr:colOff>842391</xdr:colOff>
      <xdr:row>25</xdr:row>
      <xdr:rowOff>67006</xdr:rowOff>
    </xdr:to>
    <xdr:pic>
      <xdr:nvPicPr>
        <xdr:cNvPr id="76" name="그림 75" descr="main_14.gi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334000" y="6619875"/>
          <a:ext cx="76200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123824</xdr:colOff>
      <xdr:row>1</xdr:row>
      <xdr:rowOff>95250</xdr:rowOff>
    </xdr:from>
    <xdr:to>
      <xdr:col>7</xdr:col>
      <xdr:colOff>769620</xdr:colOff>
      <xdr:row>4</xdr:row>
      <xdr:rowOff>114627</xdr:rowOff>
    </xdr:to>
    <xdr:pic>
      <xdr:nvPicPr>
        <xdr:cNvPr id="77" name="그림 76" descr="도장2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clrChange>
            <a:clrFrom>
              <a:srgbClr val="FFF6FB"/>
            </a:clrFrom>
            <a:clrTo>
              <a:srgbClr val="FFF6FB">
                <a:alpha val="0"/>
              </a:srgbClr>
            </a:clrTo>
          </a:clrChange>
        </a:blip>
        <a:stretch>
          <a:fillRect/>
        </a:stretch>
      </xdr:blipFill>
      <xdr:spPr>
        <a:xfrm>
          <a:off x="5915024" y="681990"/>
          <a:ext cx="645796" cy="5984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2</xdr:col>
      <xdr:colOff>1044702</xdr:colOff>
      <xdr:row>0</xdr:row>
      <xdr:rowOff>323850</xdr:rowOff>
    </xdr:to>
    <xdr:pic>
      <xdr:nvPicPr>
        <xdr:cNvPr id="2" name="Picture 1" descr="무진과학로고최종수정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050"/>
          <a:ext cx="1444752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3305175</xdr:colOff>
      <xdr:row>30</xdr:row>
      <xdr:rowOff>200025</xdr:rowOff>
    </xdr:from>
    <xdr:to>
      <xdr:col>2</xdr:col>
      <xdr:colOff>5200650</xdr:colOff>
      <xdr:row>32</xdr:row>
      <xdr:rowOff>219075</xdr:rowOff>
    </xdr:to>
    <xdr:pic>
      <xdr:nvPicPr>
        <xdr:cNvPr id="3" name="Picture 3" descr="영린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86000" y="7429500"/>
          <a:ext cx="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200025</xdr:colOff>
      <xdr:row>25</xdr:row>
      <xdr:rowOff>104775</xdr:rowOff>
    </xdr:from>
    <xdr:to>
      <xdr:col>2</xdr:col>
      <xdr:colOff>1463040</xdr:colOff>
      <xdr:row>25</xdr:row>
      <xdr:rowOff>105607</xdr:rowOff>
    </xdr:to>
    <xdr:pic>
      <xdr:nvPicPr>
        <xdr:cNvPr id="4" name="Picture 4" descr="EMB00000d40000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62025" y="6657975"/>
          <a:ext cx="13239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3124200</xdr:colOff>
      <xdr:row>23</xdr:row>
      <xdr:rowOff>219075</xdr:rowOff>
    </xdr:from>
    <xdr:to>
      <xdr:col>2</xdr:col>
      <xdr:colOff>4724400</xdr:colOff>
      <xdr:row>25</xdr:row>
      <xdr:rowOff>76200</xdr:rowOff>
    </xdr:to>
    <xdr:pic>
      <xdr:nvPicPr>
        <xdr:cNvPr id="5" name="Picture 5" descr="TEC-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86000" y="64198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2647950</xdr:colOff>
      <xdr:row>23</xdr:row>
      <xdr:rowOff>76200</xdr:rowOff>
    </xdr:from>
    <xdr:to>
      <xdr:col>3</xdr:col>
      <xdr:colOff>869442</xdr:colOff>
      <xdr:row>23</xdr:row>
      <xdr:rowOff>76912</xdr:rowOff>
    </xdr:to>
    <xdr:pic>
      <xdr:nvPicPr>
        <xdr:cNvPr id="6" name="Picture 6" descr="hom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286000" y="6362700"/>
          <a:ext cx="7620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1428750</xdr:colOff>
      <xdr:row>23</xdr:row>
      <xdr:rowOff>28575</xdr:rowOff>
    </xdr:from>
    <xdr:to>
      <xdr:col>2</xdr:col>
      <xdr:colOff>2178939</xdr:colOff>
      <xdr:row>23</xdr:row>
      <xdr:rowOff>29006</xdr:rowOff>
    </xdr:to>
    <xdr:pic>
      <xdr:nvPicPr>
        <xdr:cNvPr id="7" name="Picture 7" descr="Waters Corporation-Laboratory solutions for HPLC, chromatography, mass spectrometry, and laboratory informatics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286000" y="631507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476250</xdr:colOff>
      <xdr:row>25</xdr:row>
      <xdr:rowOff>95250</xdr:rowOff>
    </xdr:from>
    <xdr:to>
      <xdr:col>5</xdr:col>
      <xdr:colOff>28575</xdr:colOff>
      <xdr:row>27</xdr:row>
      <xdr:rowOff>57150</xdr:rowOff>
    </xdr:to>
    <xdr:pic>
      <xdr:nvPicPr>
        <xdr:cNvPr id="8" name="Picture 8" descr="영린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0" y="6648450"/>
          <a:ext cx="10763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323850</xdr:colOff>
      <xdr:row>23</xdr:row>
      <xdr:rowOff>76200</xdr:rowOff>
    </xdr:from>
    <xdr:to>
      <xdr:col>6</xdr:col>
      <xdr:colOff>733425</xdr:colOff>
      <xdr:row>25</xdr:row>
      <xdr:rowOff>9525</xdr:rowOff>
    </xdr:to>
    <xdr:pic>
      <xdr:nvPicPr>
        <xdr:cNvPr id="9" name="Picture 9" descr="TEC-LOG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371850" y="6362700"/>
          <a:ext cx="19335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1704975</xdr:colOff>
      <xdr:row>25</xdr:row>
      <xdr:rowOff>95250</xdr:rowOff>
    </xdr:from>
    <xdr:to>
      <xdr:col>2</xdr:col>
      <xdr:colOff>2802813</xdr:colOff>
      <xdr:row>25</xdr:row>
      <xdr:rowOff>96082</xdr:rowOff>
    </xdr:to>
    <xdr:pic>
      <xdr:nvPicPr>
        <xdr:cNvPr id="10" name="Picture 11" descr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286000" y="6648450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180975</xdr:colOff>
      <xdr:row>1</xdr:row>
      <xdr:rowOff>38100</xdr:rowOff>
    </xdr:from>
    <xdr:to>
      <xdr:col>8</xdr:col>
      <xdr:colOff>0</xdr:colOff>
      <xdr:row>9</xdr:row>
      <xdr:rowOff>38100</xdr:rowOff>
    </xdr:to>
    <xdr:grpSp>
      <xdr:nvGrpSpPr>
        <xdr:cNvPr id="11" name="Group 1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>
          <a:grpSpLocks noChangeAspect="1"/>
        </xdr:cNvGrpSpPr>
      </xdr:nvGrpSpPr>
      <xdr:grpSpPr bwMode="auto">
        <a:xfrm>
          <a:off x="3876675" y="628650"/>
          <a:ext cx="3648075" cy="1657350"/>
          <a:chOff x="402" y="86"/>
          <a:chExt cx="386" cy="155"/>
        </a:xfrm>
      </xdr:grpSpPr>
      <xdr:sp macro="" textlink="">
        <xdr:nvSpPr>
          <xdr:cNvPr id="12" name="AutoShape 13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02" y="86"/>
            <a:ext cx="371" cy="154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" name="Rectangle 15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89"/>
            <a:ext cx="278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사업자 등록번호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408 - 07 - 78981</a:t>
            </a:r>
          </a:p>
        </xdr:txBody>
      </xdr:sp>
      <xdr:sp macro="" textlink="">
        <xdr:nvSpPr>
          <xdr:cNvPr id="14" name="Rectangle 16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06"/>
            <a:ext cx="286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상 호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무 진 과 학  대표자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장 재 수</a:t>
            </a:r>
          </a:p>
        </xdr:txBody>
      </xdr:sp>
      <xdr:sp macro="" textlink="">
        <xdr:nvSpPr>
          <xdr:cNvPr id="15" name="Rectangle 17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23"/>
            <a:ext cx="364" cy="3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주 소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광주광역시 북구 두암동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851-12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번지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2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층</a:t>
            </a:r>
            <a:endParaRPr lang="en-US" altLang="ko-KR" sz="1100" b="1" i="0" strike="noStrike">
              <a:solidFill>
                <a:srgbClr val="000000"/>
              </a:solidFill>
              <a:latin typeface="굴림"/>
              <a:ea typeface="굴림"/>
            </a:endParaRPr>
          </a:p>
          <a:p>
            <a:pPr algn="l" rtl="0">
              <a:defRPr sz="1000"/>
            </a:pPr>
            <a:endParaRPr lang="ko-KR" altLang="en-US" sz="1100" b="1" i="0" strike="noStrike">
              <a:solidFill>
                <a:srgbClr val="000000"/>
              </a:solidFill>
              <a:latin typeface="굴림"/>
              <a:ea typeface="굴림"/>
            </a:endParaRPr>
          </a:p>
        </xdr:txBody>
      </xdr:sp>
      <xdr:sp macro="" textlink="">
        <xdr:nvSpPr>
          <xdr:cNvPr id="16" name="Rectangle 18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40"/>
            <a:ext cx="33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업 태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도매   종 목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과학기자재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,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무역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,</a:t>
            </a: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시약</a:t>
            </a:r>
          </a:p>
        </xdr:txBody>
      </xdr:sp>
      <xdr:sp macro="" textlink="">
        <xdr:nvSpPr>
          <xdr:cNvPr id="17" name="Rectangle 19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57"/>
            <a:ext cx="218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전 화 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062) 267-8535,8534</a:t>
            </a:r>
          </a:p>
        </xdr:txBody>
      </xdr:sp>
      <xdr:sp macro="" textlink="">
        <xdr:nvSpPr>
          <xdr:cNvPr id="18" name="Rectangle 20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424" y="174"/>
            <a:ext cx="174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굴림"/>
                <a:ea typeface="굴림"/>
              </a:rPr>
              <a:t>팩 스</a:t>
            </a:r>
            <a:r>
              <a:rPr lang="en-US" altLang="ko-KR" sz="1100" b="1" i="0" strike="noStrike">
                <a:solidFill>
                  <a:srgbClr val="000000"/>
                </a:solidFill>
                <a:latin typeface="굴림"/>
                <a:ea typeface="굴림"/>
              </a:rPr>
              <a:t>:  062) 267-8532</a:t>
            </a:r>
          </a:p>
        </xdr:txBody>
      </xdr:sp>
      <xdr:sp macro="" textlink="">
        <xdr:nvSpPr>
          <xdr:cNvPr id="19" name="Rectangle 2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470" y="191"/>
            <a:ext cx="24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altLang="ko-KR" sz="1100" b="1" i="0" strike="noStrike">
                <a:solidFill>
                  <a:srgbClr val="FF0000"/>
                </a:solidFill>
                <a:latin typeface="굴림"/>
                <a:ea typeface="굴림"/>
              </a:rPr>
              <a:t>E-Mail </a:t>
            </a:r>
            <a:r>
              <a:rPr lang="ko-KR" altLang="en-US" sz="1100" b="1" i="0" strike="noStrike">
                <a:solidFill>
                  <a:srgbClr val="FF0000"/>
                </a:solidFill>
                <a:latin typeface="굴림"/>
                <a:ea typeface="굴림"/>
              </a:rPr>
              <a:t>송부시 직인 생략합니다</a:t>
            </a:r>
            <a:r>
              <a:rPr lang="en-US" altLang="ko-KR" sz="1100" b="1" i="0" strike="noStrike">
                <a:solidFill>
                  <a:srgbClr val="FF0000"/>
                </a:solidFill>
                <a:latin typeface="굴림"/>
                <a:ea typeface="굴림"/>
              </a:rPr>
              <a:t>.</a:t>
            </a:r>
          </a:p>
        </xdr:txBody>
      </xdr:sp>
      <xdr:sp macro="" textlink="">
        <xdr:nvSpPr>
          <xdr:cNvPr id="20" name="Rectangle 22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439" y="208"/>
            <a:ext cx="306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altLang="ko-KR" sz="1100" b="1" i="0" strike="noStrike">
                <a:solidFill>
                  <a:srgbClr val="0000FF"/>
                </a:solidFill>
                <a:latin typeface="굴림"/>
                <a:ea typeface="굴림"/>
              </a:rPr>
              <a:t>*WATERS KOREA, </a:t>
            </a:r>
            <a:r>
              <a:rPr lang="ko-KR" altLang="en-US" sz="1100" b="1" i="0" strike="noStrike">
                <a:solidFill>
                  <a:srgbClr val="0000FF"/>
                </a:solidFill>
                <a:latin typeface="굴림"/>
                <a:ea typeface="굴림"/>
              </a:rPr>
              <a:t>영린기기 총판대리점</a:t>
            </a:r>
          </a:p>
        </xdr:txBody>
      </xdr:sp>
      <xdr:sp macro="" textlink="">
        <xdr:nvSpPr>
          <xdr:cNvPr id="21" name="Rectangle 23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Arrowheads="1"/>
          </xdr:cNvSpPr>
        </xdr:nvSpPr>
        <xdr:spPr bwMode="auto">
          <a:xfrm>
            <a:off x="417" y="225"/>
            <a:ext cx="35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altLang="ko-KR" sz="1100" b="1" i="0" strike="noStrike">
                <a:solidFill>
                  <a:srgbClr val="0000FF"/>
                </a:solidFill>
                <a:latin typeface="굴림"/>
                <a:ea typeface="굴림"/>
              </a:rPr>
              <a:t>*BRAN+LUEBBE,ACCUSTANDARD </a:t>
            </a:r>
            <a:r>
              <a:rPr lang="ko-KR" altLang="en-US" sz="1100" b="1" i="0" strike="noStrike">
                <a:solidFill>
                  <a:srgbClr val="0000FF"/>
                </a:solidFill>
                <a:latin typeface="굴림"/>
                <a:ea typeface="굴림"/>
              </a:rPr>
              <a:t>광주대리점</a:t>
            </a:r>
          </a:p>
        </xdr:txBody>
      </xdr:sp>
      <xdr:sp macro="" textlink="">
        <xdr:nvSpPr>
          <xdr:cNvPr id="22" name="Rectangle 24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402" y="86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3" name="Line 25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86"/>
            <a:ext cx="370" cy="1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Rectangle 26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86"/>
            <a:ext cx="370" cy="1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5" name="Rectangle 27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86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6" name="Line 28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03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27" name="Rectangle 29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03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8" name="Line 30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20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29" name="Rectangle 31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20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0" name="Line 32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37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1" name="Rectangle 33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37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2" name="Line 34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54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3" name="Rectangle 35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54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4" name="Line 36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71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5" name="Rectangle 37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71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6" name="Line 38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188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7" name="Rectangle 39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188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8" name="Line 40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205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39" name="Rectangle 41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205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0" name="Line 42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222"/>
            <a:ext cx="369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41" name="Rectangle 43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222"/>
            <a:ext cx="369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2" name="Line 44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>
            <a:spLocks noChangeShapeType="1"/>
          </xdr:cNvSpPr>
        </xdr:nvSpPr>
        <xdr:spPr bwMode="auto">
          <a:xfrm>
            <a:off x="402" y="86"/>
            <a:ext cx="1" cy="154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" name="Rectangle 45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402" y="86"/>
            <a:ext cx="1" cy="154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4" name="Line 46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>
            <a:spLocks noChangeShapeType="1"/>
          </xdr:cNvSpPr>
        </xdr:nvSpPr>
        <xdr:spPr bwMode="auto">
          <a:xfrm>
            <a:off x="403" y="239"/>
            <a:ext cx="370" cy="1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" name="Rectangle 47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>
            <a:spLocks noChangeArrowheads="1"/>
          </xdr:cNvSpPr>
        </xdr:nvSpPr>
        <xdr:spPr bwMode="auto">
          <a:xfrm>
            <a:off x="403" y="239"/>
            <a:ext cx="370" cy="1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6" name="Line 48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772" y="87"/>
            <a:ext cx="1" cy="153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" name="Rectangle 49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87"/>
            <a:ext cx="1" cy="153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48" name="Line 50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402" y="240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49" name="Rectangle 51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02" y="240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0" name="Line 52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772" y="240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1" name="Rectangle 53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240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2" name="Line 54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86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3" name="Rectangle 55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86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4" name="Line 56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03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5" name="Rectangle 57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03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6" name="Line 58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20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7" name="Rectangle 59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20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8" name="Line 60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37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59" name="Rectangle 61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37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0" name="Line 62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54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1" name="Rectangle 63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54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2" name="Line 64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71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3" name="Rectangle 65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71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4" name="Line 66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188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5" name="Rectangle 67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188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6" name="Line 68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205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7" name="Rectangle 69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205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8" name="Line 70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222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69" name="Rectangle 71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222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70" name="Line 72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>
            <a:spLocks noChangeShapeType="1"/>
          </xdr:cNvSpPr>
        </xdr:nvSpPr>
        <xdr:spPr bwMode="auto">
          <a:xfrm>
            <a:off x="773" y="239"/>
            <a:ext cx="1" cy="1"/>
          </a:xfrm>
          <a:prstGeom prst="line">
            <a:avLst/>
          </a:prstGeom>
          <a:noFill/>
          <a:ln w="0">
            <a:solidFill>
              <a:srgbClr val="C0C0C0"/>
            </a:solidFill>
            <a:round/>
            <a:headEnd/>
            <a:tailEnd/>
          </a:ln>
        </xdr:spPr>
      </xdr:sp>
      <xdr:sp macro="" textlink="">
        <xdr:nvSpPr>
          <xdr:cNvPr id="71" name="Rectangle 73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>
            <a:spLocks noChangeArrowheads="1"/>
          </xdr:cNvSpPr>
        </xdr:nvSpPr>
        <xdr:spPr bwMode="auto">
          <a:xfrm>
            <a:off x="773" y="239"/>
            <a:ext cx="1" cy="1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</xdr:grpSp>
    <xdr:clientData/>
  </xdr:twoCellAnchor>
  <xdr:twoCellAnchor editAs="oneCell">
    <xdr:from>
      <xdr:col>5</xdr:col>
      <xdr:colOff>19050</xdr:colOff>
      <xdr:row>25</xdr:row>
      <xdr:rowOff>104775</xdr:rowOff>
    </xdr:from>
    <xdr:to>
      <xdr:col>6</xdr:col>
      <xdr:colOff>824103</xdr:colOff>
      <xdr:row>25</xdr:row>
      <xdr:rowOff>105086</xdr:rowOff>
    </xdr:to>
    <xdr:pic>
      <xdr:nvPicPr>
        <xdr:cNvPr id="73" name="그림 72" descr="n_img2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829050" y="6657975"/>
          <a:ext cx="15049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38100</xdr:colOff>
      <xdr:row>23</xdr:row>
      <xdr:rowOff>47625</xdr:rowOff>
    </xdr:from>
    <xdr:to>
      <xdr:col>2</xdr:col>
      <xdr:colOff>1243203</xdr:colOff>
      <xdr:row>23</xdr:row>
      <xdr:rowOff>47956</xdr:rowOff>
    </xdr:to>
    <xdr:pic>
      <xdr:nvPicPr>
        <xdr:cNvPr id="74" name="그림 73" descr="n_img4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562100" y="6334125"/>
          <a:ext cx="7239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942975</xdr:colOff>
      <xdr:row>23</xdr:row>
      <xdr:rowOff>47625</xdr:rowOff>
    </xdr:from>
    <xdr:to>
      <xdr:col>7</xdr:col>
      <xdr:colOff>870204</xdr:colOff>
      <xdr:row>23</xdr:row>
      <xdr:rowOff>48056</xdr:rowOff>
    </xdr:to>
    <xdr:pic>
      <xdr:nvPicPr>
        <xdr:cNvPr id="75" name="그림 74" descr="오디랩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334000" y="6334125"/>
          <a:ext cx="7620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847725</xdr:colOff>
      <xdr:row>25</xdr:row>
      <xdr:rowOff>66675</xdr:rowOff>
    </xdr:from>
    <xdr:to>
      <xdr:col>7</xdr:col>
      <xdr:colOff>842391</xdr:colOff>
      <xdr:row>25</xdr:row>
      <xdr:rowOff>67006</xdr:rowOff>
    </xdr:to>
    <xdr:pic>
      <xdr:nvPicPr>
        <xdr:cNvPr id="76" name="그림 75" descr="main_14.gi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334000" y="6619875"/>
          <a:ext cx="76200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123824</xdr:colOff>
      <xdr:row>1</xdr:row>
      <xdr:rowOff>95250</xdr:rowOff>
    </xdr:from>
    <xdr:to>
      <xdr:col>7</xdr:col>
      <xdr:colOff>769620</xdr:colOff>
      <xdr:row>4</xdr:row>
      <xdr:rowOff>114627</xdr:rowOff>
    </xdr:to>
    <xdr:pic>
      <xdr:nvPicPr>
        <xdr:cNvPr id="77" name="그림 76" descr="도장2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clrChange>
            <a:clrFrom>
              <a:srgbClr val="FFF6FB"/>
            </a:clrFrom>
            <a:clrTo>
              <a:srgbClr val="FFF6FB">
                <a:alpha val="0"/>
              </a:srgbClr>
            </a:clrTo>
          </a:clrChange>
        </a:blip>
        <a:stretch>
          <a:fillRect/>
        </a:stretch>
      </xdr:blipFill>
      <xdr:spPr>
        <a:xfrm>
          <a:off x="5915024" y="681990"/>
          <a:ext cx="645796" cy="5984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-moojinsci.co.kr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-moojinsci.co.kr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-moojinsci.co.kr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-moojinsci.co.kr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-moojinsci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selection activeCell="C7" sqref="C7"/>
    </sheetView>
  </sheetViews>
  <sheetFormatPr defaultColWidth="8.88671875" defaultRowHeight="13.5"/>
  <cols>
    <col min="1" max="1" width="1.77734375" style="1" customWidth="1"/>
    <col min="2" max="2" width="3.33203125" style="1" customWidth="1"/>
    <col min="3" max="3" width="38" style="1" customWidth="1"/>
    <col min="4" max="4" width="12.44140625" style="1" customWidth="1"/>
    <col min="5" max="6" width="4.5546875" style="1" customWidth="1"/>
    <col min="7" max="7" width="11.33203125" style="3" customWidth="1"/>
    <col min="8" max="8" width="11.77734375" style="1" customWidth="1"/>
    <col min="9" max="16384" width="8.88671875" style="1"/>
  </cols>
  <sheetData>
    <row r="1" spans="1:10" ht="46.5">
      <c r="A1" s="54" t="s">
        <v>19</v>
      </c>
      <c r="B1" s="54"/>
      <c r="C1" s="54"/>
      <c r="D1" s="54"/>
      <c r="E1" s="54"/>
      <c r="F1" s="54"/>
      <c r="G1" s="54"/>
      <c r="H1" s="54"/>
    </row>
    <row r="2" spans="1:10">
      <c r="C2" s="6"/>
    </row>
    <row r="4" spans="1:10" ht="17.25" customHeight="1">
      <c r="C4" s="55" t="inlineStr">
        <is>
          <t xml:space="preserve">전남대학교 산학협력단  귀하</t>
        </is>
      </c>
    </row>
    <row r="5" spans="1:10" ht="17.25" customHeight="1">
      <c r="C5" s="56"/>
    </row>
    <row r="6" spans="1:10" ht="17.25" customHeight="1">
      <c r="C6" s="25"/>
    </row>
    <row r="7" spans="1:10" ht="17.25" customHeight="1">
      <c r="C7" s="33" t="s">
        <v>24</v>
      </c>
    </row>
    <row r="8" spans="1:10" ht="17.25" customHeight="1">
      <c r="C8" s="26"/>
    </row>
    <row r="9" spans="1:10" ht="17.25" customHeight="1">
      <c r="C9" s="57" t="s">
        <v>18</v>
      </c>
    </row>
    <row r="10" spans="1:10" ht="17.25" customHeight="1">
      <c r="C10" s="57"/>
    </row>
    <row r="11" spans="1:10" ht="18.75" customHeight="1">
      <c r="C11" s="24"/>
      <c r="D11" s="58" t="s">
        <v>17</v>
      </c>
      <c r="E11" s="58"/>
      <c r="F11" s="58"/>
      <c r="G11" s="58"/>
      <c r="H11" s="58"/>
    </row>
    <row r="12" spans="1:10" s="14" customFormat="1" ht="28.5" customHeight="1">
      <c r="B12" s="34" t="s">
        <v>16</v>
      </c>
      <c r="C12" s="30" t="s">
        <v>15</v>
      </c>
      <c r="D12" s="31" t="s">
        <v>14</v>
      </c>
      <c r="E12" s="31" t="s">
        <v>13</v>
      </c>
      <c r="F12" s="30" t="s">
        <v>12</v>
      </c>
      <c r="G12" s="32" t="s">
        <v>11</v>
      </c>
      <c r="H12" s="30" t="s">
        <v>10</v>
      </c>
    </row>
    <row r="13" spans="1:10" s="20" customFormat="1" ht="42" customHeight="1">
      <c r="B13" s="35">
        <v>1</v>
      </c>
      <c r="C13" s="36" t="inlineStr">
        <is>
          <t xml:space="preserve">Acclaim Trinity P2, 3um</t>
        </is>
      </c>
      <c r="D13" s="42" t="inlineStr">
        <is>
          <t xml:space="preserve">085432</t>
        </is>
      </c>
      <c r="E13" s="37" t="inlineStr">
        <is>
          <t xml:space="preserve">EA</t>
        </is>
      </c>
      <c r="F13" s="38">
        <v>1</v>
      </c>
      <c r="G13" s="41">
        <v>2087890</v>
      </c>
      <c r="H13" s="40">
        <f>G13*F13</f>
        <v>2087890</v>
      </c>
      <c r="J13" s="39"/>
    </row>
    <row r="14" spans="1:10" s="20" customFormat="1" ht="42" customHeight="1">
      <c r="B14" s="35">
        <v>2</v>
      </c>
      <c r="C14" s="36" t="inlineStr">
        <is>
          <t xml:space="preserve">Sulfuric acid</t>
        </is>
      </c>
      <c r="D14" s="43" t="inlineStr">
        <is>
          <t xml:space="preserve">7683-4100</t>
        </is>
      </c>
      <c r="E14" s="37" t="inlineStr">
        <is>
          <t xml:space="preserve">EA</t>
        </is>
      </c>
      <c r="F14" s="38">
        <v>1</v>
      </c>
      <c r="G14" s="41">
        <v>30450</v>
      </c>
      <c r="H14" s="40">
        <f>G14*F14</f>
        <v>30450</v>
      </c>
      <c r="J14" s="39"/>
    </row>
    <row r="15" spans="1:10" s="20" customFormat="1" ht="42" customHeight="1">
      <c r="B15" s="35">
        <v>3</v>
      </c>
      <c r="C15" s="36" t="inlineStr">
        <is>
          <t xml:space="preserve">Ferrous Sulfate heptahydrate 98% | CAS 7782-63-0, EP, 500G, DUKSAN</t>
        </is>
      </c>
      <c r="D15" s="42" t="inlineStr">
        <is>
          <t xml:space="preserve">D681</t>
        </is>
      </c>
      <c r="E15" s="37" t="inlineStr">
        <is>
          <t xml:space="preserve">EA</t>
        </is>
      </c>
      <c r="F15" s="44">
        <v>1</v>
      </c>
      <c r="G15" s="41">
        <v>25500</v>
      </c>
      <c r="H15" s="40">
        <f>G15*F15</f>
        <v>25500</v>
      </c>
      <c r="J15" s="39"/>
    </row>
    <row r="16" spans="1:10" s="20" customFormat="1" ht="42" customHeight="1">
      <c r="B16" s="35"/>
      <c r="C16" s="36"/>
      <c r="D16" s="42"/>
      <c r="E16" s="37"/>
      <c r="F16" s="44"/>
      <c r="G16" s="41"/>
      <c r="H16" s="40"/>
      <c r="J16" s="39"/>
    </row>
    <row r="17" spans="1:10" s="20" customFormat="1" ht="42" customHeight="1">
      <c r="B17" s="22"/>
      <c r="C17" s="28"/>
      <c r="D17" s="27"/>
      <c r="E17" s="21"/>
      <c r="F17" s="21"/>
      <c r="G17" s="23"/>
      <c r="H17" s="29" t="s">
        <v>21</v>
      </c>
    </row>
    <row r="18" spans="1:10" s="20" customFormat="1" ht="42" customHeight="1">
      <c r="B18" s="19"/>
      <c r="C18" s="18" t="s">
        <v>9</v>
      </c>
      <c r="D18" s="17"/>
      <c r="E18" s="17"/>
      <c r="F18" s="17"/>
      <c r="G18" s="16" t="s">
        <v>8</v>
      </c>
      <c r="H18" s="15">
        <f>SUM(H13:H17)</f>
        <v>2143840</v>
      </c>
      <c r="I18" s="7"/>
      <c r="J18" s="7"/>
    </row>
    <row r="19" spans="1:10" s="20" customFormat="1" ht="42" customHeight="1">
      <c r="B19" s="14"/>
      <c r="C19" s="13" t="s">
        <v>20</v>
      </c>
      <c r="D19" s="5"/>
      <c r="E19" s="5"/>
      <c r="F19" s="5"/>
      <c r="G19" s="12" t="s">
        <v>7</v>
      </c>
      <c r="H19" s="11">
        <f>H18/10</f>
        <v>214384</v>
      </c>
      <c r="I19" s="7"/>
      <c r="J19" s="7"/>
    </row>
    <row r="20" spans="1:10" s="20" customFormat="1" ht="42" customHeight="1" thickBot="1">
      <c r="B20" s="1"/>
      <c r="C20" s="6" t="s">
        <v>6</v>
      </c>
      <c r="D20" s="10"/>
      <c r="E20" s="5"/>
      <c r="F20" s="10"/>
      <c r="G20" s="9" t="s">
        <v>5</v>
      </c>
      <c r="H20" s="8">
        <f>SUM(H18:H19)</f>
        <v>2358224</v>
      </c>
      <c r="I20" s="7"/>
      <c r="J20" s="7"/>
    </row>
    <row r="21" spans="1:10" s="20" customFormat="1" ht="42" customHeight="1">
      <c r="B21" s="1"/>
      <c r="C21" s="6" t="s">
        <v>4</v>
      </c>
      <c r="D21" s="6"/>
      <c r="E21" s="5"/>
      <c r="F21" s="1"/>
      <c r="G21" s="59" t="s">
        <v>3</v>
      </c>
      <c r="H21" s="61" t="s">
        <v>2</v>
      </c>
      <c r="I21" s="2"/>
      <c r="J21" s="2"/>
    </row>
    <row r="22" spans="1:10" s="20" customFormat="1" ht="42" customHeight="1" thickBot="1">
      <c r="B22" s="1"/>
      <c r="C22" s="6"/>
      <c r="D22" s="6"/>
      <c r="E22" s="5"/>
      <c r="F22" s="1"/>
      <c r="G22" s="60"/>
      <c r="H22" s="62"/>
      <c r="I22" s="2"/>
      <c r="J22" s="2"/>
    </row>
    <row r="23" spans="1:10" s="20" customFormat="1" ht="42" customHeight="1" thickBot="1">
      <c r="B23" s="1"/>
      <c r="C23" s="6" t="s">
        <v>1</v>
      </c>
      <c r="D23" s="1"/>
      <c r="E23" s="5"/>
      <c r="F23" s="1"/>
      <c r="G23" s="3"/>
      <c r="H23" s="1"/>
      <c r="I23" s="2"/>
      <c r="J23" s="2"/>
    </row>
    <row r="24" spans="1:10" s="20" customFormat="1" ht="42" customHeight="1">
      <c r="B24" s="45" t="s">
        <v>0</v>
      </c>
      <c r="C24" s="46"/>
      <c r="D24" s="46"/>
      <c r="E24" s="46"/>
      <c r="F24" s="46"/>
      <c r="G24" s="46"/>
      <c r="H24" s="47"/>
      <c r="I24" s="2"/>
      <c r="J24" s="2"/>
    </row>
    <row r="25" spans="1:10" s="20" customFormat="1" ht="42" customHeight="1">
      <c r="B25" s="48"/>
      <c r="C25" s="49"/>
      <c r="D25" s="49"/>
      <c r="E25" s="49"/>
      <c r="F25" s="49"/>
      <c r="G25" s="49"/>
      <c r="H25" s="50"/>
      <c r="I25" s="2"/>
      <c r="J25" s="2"/>
    </row>
    <row r="26" spans="1:10" s="20" customFormat="1" ht="42" customHeight="1">
      <c r="B26" s="48"/>
      <c r="C26" s="49"/>
      <c r="D26" s="49"/>
      <c r="E26" s="49"/>
      <c r="F26" s="49"/>
      <c r="G26" s="49"/>
      <c r="H26" s="50"/>
      <c r="I26" s="2"/>
      <c r="J26" s="2"/>
    </row>
    <row r="27" spans="1:10" s="7" customFormat="1" ht="21" customHeight="1">
      <c r="B27" s="48"/>
      <c r="C27" s="49"/>
      <c r="D27" s="49"/>
      <c r="E27" s="49"/>
      <c r="F27" s="49"/>
      <c r="G27" s="49"/>
      <c r="H27" s="50"/>
      <c r="I27" s="2"/>
      <c r="J27" s="2"/>
    </row>
    <row r="28" spans="1:10" s="7" customFormat="1" ht="21" customHeight="1">
      <c r="B28" s="48"/>
      <c r="C28" s="49"/>
      <c r="D28" s="49"/>
      <c r="E28" s="49"/>
      <c r="F28" s="49"/>
      <c r="G28" s="49"/>
      <c r="H28" s="50"/>
      <c r="I28" s="2"/>
      <c r="J28" s="2"/>
    </row>
    <row r="29" spans="1:10" s="7" customFormat="1" ht="21" customHeight="1" thickBot="1">
      <c r="B29" s="51"/>
      <c r="C29" s="52"/>
      <c r="D29" s="52"/>
      <c r="E29" s="52"/>
      <c r="F29" s="52"/>
      <c r="G29" s="52"/>
      <c r="H29" s="53"/>
      <c r="I29" s="2"/>
      <c r="J29" s="2"/>
    </row>
    <row r="30" spans="1:10" s="2" customFormat="1" ht="21" customHeight="1">
      <c r="A30" s="1"/>
      <c r="B30" s="1"/>
      <c r="C30" s="4"/>
      <c r="D30" s="1"/>
      <c r="E30" s="1"/>
      <c r="F30" s="1"/>
      <c r="G30" s="3"/>
      <c r="H30" s="1"/>
    </row>
    <row r="31" spans="1:10" s="2" customFormat="1" ht="21" customHeight="1">
      <c r="A31" s="1"/>
      <c r="B31" s="1"/>
      <c r="C31" s="4"/>
      <c r="D31" s="1"/>
      <c r="E31" s="1"/>
      <c r="F31" s="1"/>
      <c r="G31" s="3"/>
      <c r="H31" s="1"/>
    </row>
    <row r="32" spans="1:10" s="2" customFormat="1" ht="16.5" customHeight="1">
      <c r="A32" s="1"/>
      <c r="B32" s="1"/>
      <c r="C32" s="4"/>
      <c r="D32" s="1"/>
      <c r="E32" s="1"/>
      <c r="F32" s="1"/>
      <c r="G32" s="3"/>
      <c r="H32" s="1"/>
    </row>
    <row r="33" spans="1:10" s="2" customFormat="1" ht="10.5" customHeight="1">
      <c r="A33" s="1"/>
      <c r="B33" s="1"/>
      <c r="C33" s="4"/>
      <c r="D33" s="1"/>
      <c r="E33" s="1"/>
      <c r="F33" s="1"/>
      <c r="G33" s="3"/>
      <c r="H33" s="1"/>
    </row>
    <row r="34" spans="1:10" s="2" customFormat="1" ht="10.5" customHeight="1">
      <c r="A34" s="1"/>
      <c r="B34" s="1"/>
      <c r="C34" s="1"/>
      <c r="D34" s="1"/>
      <c r="E34" s="1"/>
      <c r="F34" s="1"/>
      <c r="G34" s="3"/>
      <c r="H34" s="1"/>
      <c r="I34" s="1"/>
      <c r="J34" s="1"/>
    </row>
    <row r="35" spans="1:10" s="2" customFormat="1" ht="10.5" customHeight="1">
      <c r="A35" s="1"/>
      <c r="B35" s="1"/>
      <c r="C35" s="1"/>
      <c r="D35" s="1"/>
      <c r="E35" s="1"/>
      <c r="F35" s="1"/>
      <c r="G35" s="3"/>
      <c r="H35" s="1"/>
      <c r="I35" s="1"/>
      <c r="J35" s="1"/>
    </row>
    <row r="36" spans="1:10" s="2" customFormat="1" ht="10.5" customHeight="1">
      <c r="A36" s="1"/>
      <c r="B36" s="1"/>
      <c r="C36" s="1"/>
      <c r="D36" s="1"/>
      <c r="E36" s="1"/>
      <c r="F36" s="1"/>
      <c r="G36" s="3"/>
      <c r="H36" s="1"/>
      <c r="I36" s="1"/>
      <c r="J36" s="1"/>
    </row>
    <row r="37" spans="1:10" s="2" customFormat="1" ht="10.5" customHeight="1">
      <c r="A37" s="1"/>
      <c r="B37" s="1"/>
      <c r="C37" s="1"/>
      <c r="D37" s="1"/>
      <c r="E37" s="1"/>
      <c r="F37" s="1"/>
      <c r="G37" s="3"/>
      <c r="H37" s="1"/>
      <c r="I37" s="1"/>
      <c r="J37" s="1"/>
    </row>
    <row r="38" spans="1:10" s="2" customFormat="1" ht="10.5" customHeight="1">
      <c r="A38" s="1"/>
      <c r="B38" s="1"/>
      <c r="C38" s="1"/>
      <c r="D38" s="1"/>
      <c r="E38" s="1"/>
      <c r="F38" s="1"/>
      <c r="G38" s="3"/>
      <c r="H38" s="1"/>
      <c r="I38" s="1"/>
      <c r="J38" s="1"/>
    </row>
    <row r="39" spans="1:10" s="2" customFormat="1">
      <c r="A39" s="1"/>
      <c r="B39" s="1"/>
      <c r="C39" s="1"/>
      <c r="D39" s="1"/>
      <c r="E39" s="1"/>
      <c r="F39" s="1"/>
      <c r="G39" s="3"/>
      <c r="H39" s="1"/>
      <c r="I39" s="1"/>
      <c r="J39" s="1"/>
    </row>
    <row r="40" spans="1:10" s="2" customFormat="1">
      <c r="A40" s="1"/>
      <c r="B40" s="1"/>
      <c r="C40" s="1"/>
      <c r="D40" s="1"/>
      <c r="E40" s="1"/>
      <c r="F40" s="1"/>
      <c r="G40" s="3"/>
      <c r="H40" s="1"/>
      <c r="I40" s="1"/>
      <c r="J40" s="1"/>
    </row>
    <row r="41" spans="1:10" s="2" customFormat="1">
      <c r="A41" s="1"/>
      <c r="B41" s="1"/>
      <c r="C41" s="1"/>
      <c r="D41" s="1"/>
      <c r="E41" s="1"/>
      <c r="F41" s="1"/>
      <c r="G41" s="3"/>
      <c r="H41" s="1"/>
      <c r="I41" s="1"/>
      <c r="J41" s="1"/>
    </row>
    <row r="42" spans="1:10" s="2" customFormat="1">
      <c r="A42" s="1"/>
      <c r="B42" s="1"/>
      <c r="C42" s="1"/>
      <c r="D42" s="1"/>
      <c r="E42" s="1"/>
      <c r="F42" s="1"/>
      <c r="G42" s="3"/>
      <c r="H42" s="1"/>
      <c r="I42" s="1"/>
      <c r="J42" s="1"/>
    </row>
  </sheetData>
  <mergeCells count="7">
    <mergeCell ref="B24:H29"/>
    <mergeCell ref="A1:H1"/>
    <mergeCell ref="C4:C5"/>
    <mergeCell ref="C9:C10"/>
    <mergeCell ref="D11:H11"/>
    <mergeCell ref="G21:G22"/>
    <mergeCell ref="H21:H22"/>
  </mergeCells>
  <phoneticPr fontId="3" type="noConversion"/>
  <hyperlinks>
    <hyperlink ref="D11" r:id="rId1" xr:uid="{00000000-0004-0000-0000-000000000000}"/>
  </hyperlinks>
  <pageMargins left="0.17" right="0.16" top="1.07" bottom="0.7" header="0.5" footer="0.5"/>
  <pageSetup paperSize="9" scale="99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workbookViewId="0">
      <selection activeCell="C7" sqref="C7"/>
    </sheetView>
  </sheetViews>
  <sheetFormatPr defaultColWidth="8.88671875" defaultRowHeight="13.5"/>
  <cols>
    <col min="1" max="1" width="1.77734375" style="1" customWidth="1"/>
    <col min="2" max="2" width="3.33203125" style="1" customWidth="1"/>
    <col min="3" max="3" width="38" style="1" customWidth="1"/>
    <col min="4" max="4" width="12.44140625" style="1" customWidth="1"/>
    <col min="5" max="6" width="4.5546875" style="1" customWidth="1"/>
    <col min="7" max="7" width="11.33203125" style="3" customWidth="1"/>
    <col min="8" max="8" width="11.77734375" style="1" customWidth="1"/>
    <col min="9" max="16384" width="8.88671875" style="1"/>
  </cols>
  <sheetData>
    <row r="1" spans="1:10" ht="46.5">
      <c r="A1" s="54" t="s">
        <v>19</v>
      </c>
      <c r="B1" s="54"/>
      <c r="C1" s="54"/>
      <c r="D1" s="54"/>
      <c r="E1" s="54"/>
      <c r="F1" s="54"/>
      <c r="G1" s="54"/>
      <c r="H1" s="54"/>
    </row>
    <row r="2" spans="1:10">
      <c r="C2" s="6"/>
    </row>
    <row r="4" spans="1:10" ht="17.25" customHeight="1">
      <c r="C4" s="55" t="inlineStr">
        <is>
          <t xml:space="preserve">전남대학교 산학협력단  귀하</t>
        </is>
      </c>
    </row>
    <row r="5" spans="1:10" ht="17.25" customHeight="1">
      <c r="C5" s="56"/>
    </row>
    <row r="6" spans="1:10" ht="17.25" customHeight="1">
      <c r="C6" s="25"/>
    </row>
    <row r="7" spans="1:10" ht="17.25" customHeight="1">
      <c r="C7" s="33" t="s">
        <v>24</v>
      </c>
    </row>
    <row r="8" spans="1:10" ht="17.25" customHeight="1">
      <c r="C8" s="26"/>
    </row>
    <row r="9" spans="1:10" ht="17.25" customHeight="1">
      <c r="C9" s="57" t="s">
        <v>18</v>
      </c>
    </row>
    <row r="10" spans="1:10" ht="17.25" customHeight="1">
      <c r="C10" s="57"/>
    </row>
    <row r="11" spans="1:10" ht="18.75" customHeight="1">
      <c r="C11" s="24"/>
      <c r="D11" s="58" t="s">
        <v>17</v>
      </c>
      <c r="E11" s="58"/>
      <c r="F11" s="58"/>
      <c r="G11" s="58"/>
      <c r="H11" s="58"/>
    </row>
    <row r="12" spans="1:10" s="14" customFormat="1" ht="28.5" customHeight="1">
      <c r="B12" s="34" t="s">
        <v>16</v>
      </c>
      <c r="C12" s="30" t="s">
        <v>15</v>
      </c>
      <c r="D12" s="31" t="s">
        <v>14</v>
      </c>
      <c r="E12" s="31" t="s">
        <v>13</v>
      </c>
      <c r="F12" s="30" t="s">
        <v>12</v>
      </c>
      <c r="G12" s="32" t="s">
        <v>11</v>
      </c>
      <c r="H12" s="30" t="s">
        <v>10</v>
      </c>
    </row>
    <row r="13" spans="1:10" s="20" customFormat="1" ht="42" customHeight="1">
      <c r="B13" s="35">
        <v>1</v>
      </c>
      <c r="C13" s="36" t="inlineStr">
        <is>
          <t xml:space="preserve">HLB, Syringe filter, 13mm, 0.22um, 100/pk [pk]</t>
        </is>
      </c>
      <c r="D13" s="42" t="inlineStr">
        <is>
          <t xml:space="preserve">SF13-HLB22-M</t>
        </is>
      </c>
      <c r="E13" s="37" t="inlineStr">
        <is>
          <t xml:space="preserve">PK</t>
        </is>
      </c>
      <c r="F13" s="38">
        <v>20</v>
      </c>
      <c r="G13" s="41">
        <v>95900</v>
      </c>
      <c r="H13" s="40">
        <f>G13*F13</f>
        <v>1918000</v>
      </c>
      <c r="J13" s="39"/>
    </row>
    <row r="14" spans="1:10" s="20" customFormat="1" ht="42" customHeight="1">
      <c r="B14" s="35">
        <v>2</v>
      </c>
      <c r="C14" s="36" t="inlineStr">
        <is>
          <t xml:space="preserve">2-Propanol (HPLC), Fisher Chemical™</t>
        </is>
      </c>
      <c r="D14" s="43" t="inlineStr">
        <is>
          <t xml:space="preserve">A451-4</t>
        </is>
      </c>
      <c r="E14" s="37" t="inlineStr">
        <is>
          <t xml:space="preserve">EA</t>
        </is>
      </c>
      <c r="F14" s="38">
        <v>1</v>
      </c>
      <c r="G14" s="41">
        <v>67300</v>
      </c>
      <c r="H14" s="40">
        <f>G14*F14</f>
        <v>67300</v>
      </c>
      <c r="J14" s="39"/>
    </row>
    <row r="15" spans="1:10" s="20" customFormat="1" ht="42" customHeight="1">
      <c r="B15" s="35">
        <v>3</v>
      </c>
      <c r="C15" s="36" t="inlineStr">
        <is>
          <t xml:space="preserve">Hexylene glycol [100g]</t>
        </is>
      </c>
      <c r="D15" s="42" t="inlineStr">
        <is>
          <t xml:space="preserve">68340</t>
        </is>
      </c>
      <c r="E15" s="37" t="inlineStr">
        <is>
          <t xml:space="preserve">EA</t>
        </is>
      </c>
      <c r="F15" s="44">
        <v>1</v>
      </c>
      <c r="G15" s="41">
        <v>59600</v>
      </c>
      <c r="H15" s="40">
        <f>G15*F15</f>
        <v>59600</v>
      </c>
      <c r="J15" s="39"/>
    </row>
    <row r="16" spans="1:10" s="20" customFormat="1" ht="42" customHeight="1">
      <c r="B16" s="35">
        <v>4</v>
      </c>
      <c r="C16" s="36" t="inlineStr">
        <is>
          <t xml:space="preserve">Glycerol</t>
        </is>
      </c>
      <c r="D16" s="42" t="inlineStr">
        <is>
          <t xml:space="preserve">4066-4400</t>
        </is>
      </c>
      <c r="E16" s="37" t="inlineStr">
        <is>
          <t xml:space="preserve">EA</t>
        </is>
      </c>
      <c r="F16" s="44">
        <v>1</v>
      </c>
      <c r="G16" s="41">
        <v>34300</v>
      </c>
      <c r="H16" s="40">
        <f>G16*F16</f>
        <v>34300</v>
      </c>
      <c r="J16" s="39"/>
    </row>
    <row r="17" spans="1:10" s="20" customFormat="1" ht="42" customHeight="1">
      <c r="B17" s="22"/>
      <c r="C17" s="28"/>
      <c r="D17" s="27"/>
      <c r="E17" s="21"/>
      <c r="F17" s="21"/>
      <c r="G17" s="23"/>
      <c r="H17" s="29" t="s">
        <v>21</v>
      </c>
    </row>
    <row r="18" spans="1:10" s="20" customFormat="1" ht="42" customHeight="1">
      <c r="B18" s="19"/>
      <c r="C18" s="18" t="s">
        <v>9</v>
      </c>
      <c r="D18" s="17"/>
      <c r="E18" s="17"/>
      <c r="F18" s="17"/>
      <c r="G18" s="16" t="s">
        <v>8</v>
      </c>
      <c r="H18" s="15">
        <f>SUM(H13:H17)</f>
        <v>2079200</v>
      </c>
      <c r="I18" s="7"/>
      <c r="J18" s="7"/>
    </row>
    <row r="19" spans="1:10" s="20" customFormat="1" ht="42" customHeight="1">
      <c r="B19" s="14"/>
      <c r="C19" s="13" t="s">
        <v>20</v>
      </c>
      <c r="D19" s="5"/>
      <c r="E19" s="5"/>
      <c r="F19" s="5"/>
      <c r="G19" s="12" t="s">
        <v>7</v>
      </c>
      <c r="H19" s="11">
        <f>H18/10</f>
        <v>207920</v>
      </c>
      <c r="I19" s="7"/>
      <c r="J19" s="7"/>
    </row>
    <row r="20" spans="1:10" s="20" customFormat="1" ht="42" customHeight="1" thickBot="1">
      <c r="B20" s="1"/>
      <c r="C20" s="6" t="s">
        <v>6</v>
      </c>
      <c r="D20" s="10"/>
      <c r="E20" s="5"/>
      <c r="F20" s="10"/>
      <c r="G20" s="9" t="s">
        <v>5</v>
      </c>
      <c r="H20" s="8">
        <f>SUM(H18:H19)</f>
        <v>2287120</v>
      </c>
      <c r="I20" s="7"/>
      <c r="J20" s="7"/>
    </row>
    <row r="21" spans="1:10" s="20" customFormat="1" ht="42" customHeight="1">
      <c r="B21" s="1"/>
      <c r="C21" s="6" t="s">
        <v>4</v>
      </c>
      <c r="D21" s="6"/>
      <c r="E21" s="5"/>
      <c r="F21" s="1"/>
      <c r="G21" s="59" t="s">
        <v>3</v>
      </c>
      <c r="H21" s="61" t="s">
        <v>2</v>
      </c>
      <c r="I21" s="2"/>
      <c r="J21" s="2"/>
    </row>
    <row r="22" spans="1:10" s="20" customFormat="1" ht="42" customHeight="1" thickBot="1">
      <c r="B22" s="1"/>
      <c r="C22" s="6"/>
      <c r="D22" s="6"/>
      <c r="E22" s="5"/>
      <c r="F22" s="1"/>
      <c r="G22" s="60"/>
      <c r="H22" s="62"/>
      <c r="I22" s="2"/>
      <c r="J22" s="2"/>
    </row>
    <row r="23" spans="1:10" s="20" customFormat="1" ht="42" customHeight="1" thickBot="1">
      <c r="B23" s="1"/>
      <c r="C23" s="6" t="s">
        <v>1</v>
      </c>
      <c r="D23" s="1"/>
      <c r="E23" s="5"/>
      <c r="F23" s="1"/>
      <c r="G23" s="3"/>
      <c r="H23" s="1"/>
      <c r="I23" s="2"/>
      <c r="J23" s="2"/>
    </row>
    <row r="24" spans="1:10" s="20" customFormat="1" ht="42" customHeight="1">
      <c r="B24" s="45" t="s">
        <v>0</v>
      </c>
      <c r="C24" s="46"/>
      <c r="D24" s="46"/>
      <c r="E24" s="46"/>
      <c r="F24" s="46"/>
      <c r="G24" s="46"/>
      <c r="H24" s="47"/>
      <c r="I24" s="2"/>
      <c r="J24" s="2"/>
    </row>
    <row r="25" spans="1:10" s="20" customFormat="1" ht="42" customHeight="1">
      <c r="B25" s="48"/>
      <c r="C25" s="49"/>
      <c r="D25" s="49"/>
      <c r="E25" s="49"/>
      <c r="F25" s="49"/>
      <c r="G25" s="49"/>
      <c r="H25" s="50"/>
      <c r="I25" s="2"/>
      <c r="J25" s="2"/>
    </row>
    <row r="26" spans="1:10" s="20" customFormat="1" ht="42" customHeight="1">
      <c r="B26" s="48"/>
      <c r="C26" s="49"/>
      <c r="D26" s="49"/>
      <c r="E26" s="49"/>
      <c r="F26" s="49"/>
      <c r="G26" s="49"/>
      <c r="H26" s="50"/>
      <c r="I26" s="2"/>
      <c r="J26" s="2"/>
    </row>
    <row r="27" spans="1:10" s="7" customFormat="1" ht="21" customHeight="1">
      <c r="B27" s="48"/>
      <c r="C27" s="49"/>
      <c r="D27" s="49"/>
      <c r="E27" s="49"/>
      <c r="F27" s="49"/>
      <c r="G27" s="49"/>
      <c r="H27" s="50"/>
      <c r="I27" s="2"/>
      <c r="J27" s="2"/>
    </row>
    <row r="28" spans="1:10" s="7" customFormat="1" ht="21" customHeight="1">
      <c r="B28" s="48"/>
      <c r="C28" s="49"/>
      <c r="D28" s="49"/>
      <c r="E28" s="49"/>
      <c r="F28" s="49"/>
      <c r="G28" s="49"/>
      <c r="H28" s="50"/>
      <c r="I28" s="2"/>
      <c r="J28" s="2"/>
    </row>
    <row r="29" spans="1:10" s="7" customFormat="1" ht="21" customHeight="1" thickBot="1">
      <c r="B29" s="51"/>
      <c r="C29" s="52"/>
      <c r="D29" s="52"/>
      <c r="E29" s="52"/>
      <c r="F29" s="52"/>
      <c r="G29" s="52"/>
      <c r="H29" s="53"/>
      <c r="I29" s="2"/>
      <c r="J29" s="2"/>
    </row>
    <row r="30" spans="1:10" s="2" customFormat="1" ht="21" customHeight="1">
      <c r="A30" s="1"/>
      <c r="B30" s="1"/>
      <c r="C30" s="4"/>
      <c r="D30" s="1"/>
      <c r="E30" s="1"/>
      <c r="F30" s="1"/>
      <c r="G30" s="3"/>
      <c r="H30" s="1"/>
    </row>
    <row r="31" spans="1:10" s="2" customFormat="1" ht="21" customHeight="1">
      <c r="A31" s="1"/>
      <c r="B31" s="1"/>
      <c r="C31" s="4"/>
      <c r="D31" s="1"/>
      <c r="E31" s="1"/>
      <c r="F31" s="1"/>
      <c r="G31" s="3"/>
      <c r="H31" s="1"/>
    </row>
    <row r="32" spans="1:10" s="2" customFormat="1" ht="16.5" customHeight="1">
      <c r="A32" s="1"/>
      <c r="B32" s="1"/>
      <c r="C32" s="4"/>
      <c r="D32" s="1"/>
      <c r="E32" s="1"/>
      <c r="F32" s="1"/>
      <c r="G32" s="3"/>
      <c r="H32" s="1"/>
    </row>
    <row r="33" spans="1:10" s="2" customFormat="1" ht="10.5" customHeight="1">
      <c r="A33" s="1"/>
      <c r="B33" s="1"/>
      <c r="C33" s="4"/>
      <c r="D33" s="1"/>
      <c r="E33" s="1"/>
      <c r="F33" s="1"/>
      <c r="G33" s="3"/>
      <c r="H33" s="1"/>
    </row>
    <row r="34" spans="1:10" s="2" customFormat="1" ht="10.5" customHeight="1">
      <c r="A34" s="1"/>
      <c r="B34" s="1"/>
      <c r="C34" s="1"/>
      <c r="D34" s="1"/>
      <c r="E34" s="1"/>
      <c r="F34" s="1"/>
      <c r="G34" s="3"/>
      <c r="H34" s="1"/>
      <c r="I34" s="1"/>
      <c r="J34" s="1"/>
    </row>
    <row r="35" spans="1:10" s="2" customFormat="1" ht="10.5" customHeight="1">
      <c r="A35" s="1"/>
      <c r="B35" s="1"/>
      <c r="C35" s="1"/>
      <c r="D35" s="1"/>
      <c r="E35" s="1"/>
      <c r="F35" s="1"/>
      <c r="G35" s="3"/>
      <c r="H35" s="1"/>
      <c r="I35" s="1"/>
      <c r="J35" s="1"/>
    </row>
    <row r="36" spans="1:10" s="2" customFormat="1" ht="10.5" customHeight="1">
      <c r="A36" s="1"/>
      <c r="B36" s="1"/>
      <c r="C36" s="1"/>
      <c r="D36" s="1"/>
      <c r="E36" s="1"/>
      <c r="F36" s="1"/>
      <c r="G36" s="3"/>
      <c r="H36" s="1"/>
      <c r="I36" s="1"/>
      <c r="J36" s="1"/>
    </row>
    <row r="37" spans="1:10" s="2" customFormat="1" ht="10.5" customHeight="1">
      <c r="A37" s="1"/>
      <c r="B37" s="1"/>
      <c r="C37" s="1"/>
      <c r="D37" s="1"/>
      <c r="E37" s="1"/>
      <c r="F37" s="1"/>
      <c r="G37" s="3"/>
      <c r="H37" s="1"/>
      <c r="I37" s="1"/>
      <c r="J37" s="1"/>
    </row>
    <row r="38" spans="1:10" s="2" customFormat="1" ht="10.5" customHeight="1">
      <c r="A38" s="1"/>
      <c r="B38" s="1"/>
      <c r="C38" s="1"/>
      <c r="D38" s="1"/>
      <c r="E38" s="1"/>
      <c r="F38" s="1"/>
      <c r="G38" s="3"/>
      <c r="H38" s="1"/>
      <c r="I38" s="1"/>
      <c r="J38" s="1"/>
    </row>
    <row r="39" spans="1:10" s="2" customFormat="1">
      <c r="A39" s="1"/>
      <c r="B39" s="1"/>
      <c r="C39" s="1"/>
      <c r="D39" s="1"/>
      <c r="E39" s="1"/>
      <c r="F39" s="1"/>
      <c r="G39" s="3"/>
      <c r="H39" s="1"/>
      <c r="I39" s="1"/>
      <c r="J39" s="1"/>
    </row>
    <row r="40" spans="1:10" s="2" customFormat="1">
      <c r="A40" s="1"/>
      <c r="B40" s="1"/>
      <c r="C40" s="1"/>
      <c r="D40" s="1"/>
      <c r="E40" s="1"/>
      <c r="F40" s="1"/>
      <c r="G40" s="3"/>
      <c r="H40" s="1"/>
      <c r="I40" s="1"/>
      <c r="J40" s="1"/>
    </row>
    <row r="41" spans="1:10" s="2" customFormat="1">
      <c r="A41" s="1"/>
      <c r="B41" s="1"/>
      <c r="C41" s="1"/>
      <c r="D41" s="1"/>
      <c r="E41" s="1"/>
      <c r="F41" s="1"/>
      <c r="G41" s="3"/>
      <c r="H41" s="1"/>
      <c r="I41" s="1"/>
      <c r="J41" s="1"/>
    </row>
    <row r="42" spans="1:10" s="2" customFormat="1">
      <c r="A42" s="1"/>
      <c r="B42" s="1"/>
      <c r="C42" s="1"/>
      <c r="D42" s="1"/>
      <c r="E42" s="1"/>
      <c r="F42" s="1"/>
      <c r="G42" s="3"/>
      <c r="H42" s="1"/>
      <c r="I42" s="1"/>
      <c r="J42" s="1"/>
    </row>
  </sheetData>
  <mergeCells count="7">
    <mergeCell ref="B24:H29"/>
    <mergeCell ref="A1:H1"/>
    <mergeCell ref="C4:C5"/>
    <mergeCell ref="C9:C10"/>
    <mergeCell ref="D11:H11"/>
    <mergeCell ref="G21:G22"/>
    <mergeCell ref="H21:H22"/>
  </mergeCells>
  <phoneticPr fontId="3" type="noConversion"/>
  <hyperlinks>
    <hyperlink ref="D11" r:id="rId1" xr:uid="{00000000-0004-0000-0000-000000000000}"/>
  </hyperlinks>
  <pageMargins left="0.17" right="0.16" top="1.07" bottom="0.7" header="0.5" footer="0.5"/>
  <pageSetup paperSize="9" scale="99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workbookViewId="0">
      <selection activeCell="C7" sqref="C7"/>
    </sheetView>
  </sheetViews>
  <sheetFormatPr defaultColWidth="8.88671875" defaultRowHeight="13.5"/>
  <cols>
    <col min="1" max="1" width="1.77734375" style="1" customWidth="1"/>
    <col min="2" max="2" width="3.33203125" style="1" customWidth="1"/>
    <col min="3" max="3" width="38" style="1" customWidth="1"/>
    <col min="4" max="4" width="12.44140625" style="1" customWidth="1"/>
    <col min="5" max="6" width="4.5546875" style="1" customWidth="1"/>
    <col min="7" max="7" width="11.33203125" style="3" customWidth="1"/>
    <col min="8" max="8" width="11.77734375" style="1" customWidth="1"/>
    <col min="9" max="16384" width="8.88671875" style="1"/>
  </cols>
  <sheetData>
    <row r="1" spans="1:10" ht="46.5">
      <c r="A1" s="54" t="s">
        <v>19</v>
      </c>
      <c r="B1" s="54"/>
      <c r="C1" s="54"/>
      <c r="D1" s="54"/>
      <c r="E1" s="54"/>
      <c r="F1" s="54"/>
      <c r="G1" s="54"/>
      <c r="H1" s="54"/>
    </row>
    <row r="2" spans="1:10">
      <c r="C2" s="6"/>
    </row>
    <row r="4" spans="1:10" ht="17.25" customHeight="1">
      <c r="C4" s="55" t="inlineStr">
        <is>
          <t xml:space="preserve">전남대학교 산학협력단  귀하</t>
        </is>
      </c>
    </row>
    <row r="5" spans="1:10" ht="17.25" customHeight="1">
      <c r="C5" s="56"/>
    </row>
    <row r="6" spans="1:10" ht="17.25" customHeight="1">
      <c r="C6" s="25"/>
    </row>
    <row r="7" spans="1:10" ht="17.25" customHeight="1">
      <c r="C7" s="33" t="s">
        <v>24</v>
      </c>
    </row>
    <row r="8" spans="1:10" ht="17.25" customHeight="1">
      <c r="C8" s="26"/>
    </row>
    <row r="9" spans="1:10" ht="17.25" customHeight="1">
      <c r="C9" s="57" t="s">
        <v>18</v>
      </c>
    </row>
    <row r="10" spans="1:10" ht="17.25" customHeight="1">
      <c r="C10" s="57"/>
    </row>
    <row r="11" spans="1:10" ht="18.75" customHeight="1">
      <c r="C11" s="24"/>
      <c r="D11" s="58" t="s">
        <v>17</v>
      </c>
      <c r="E11" s="58"/>
      <c r="F11" s="58"/>
      <c r="G11" s="58"/>
      <c r="H11" s="58"/>
    </row>
    <row r="12" spans="1:10" s="14" customFormat="1" ht="28.5" customHeight="1">
      <c r="B12" s="34" t="s">
        <v>16</v>
      </c>
      <c r="C12" s="30" t="s">
        <v>15</v>
      </c>
      <c r="D12" s="31" t="s">
        <v>14</v>
      </c>
      <c r="E12" s="31" t="s">
        <v>13</v>
      </c>
      <c r="F12" s="30" t="s">
        <v>12</v>
      </c>
      <c r="G12" s="32" t="s">
        <v>11</v>
      </c>
      <c r="H12" s="30" t="s">
        <v>10</v>
      </c>
    </row>
    <row r="13" spans="1:10" s="20" customFormat="1" ht="42" customHeight="1">
      <c r="B13" s="35">
        <v>1</v>
      </c>
      <c r="C13" s="36" t="inlineStr">
        <is>
          <t xml:space="preserve">Malonyl coenzyme A lithium salt [25M]</t>
        </is>
      </c>
      <c r="D13" s="42" t="inlineStr">
        <is>
          <t xml:space="preserve">M4263-25MG</t>
        </is>
      </c>
      <c r="E13" s="37" t="inlineStr">
        <is>
          <t xml:space="preserve">EA</t>
        </is>
      </c>
      <c r="F13" s="38">
        <v>1</v>
      </c>
      <c r="G13" s="41">
        <v>1000100</v>
      </c>
      <c r="H13" s="40">
        <f>G13*F13</f>
        <v>1000100</v>
      </c>
      <c r="J13" s="39"/>
    </row>
    <row r="14" spans="1:10" s="20" customFormat="1" ht="42" customHeight="1">
      <c r="B14" s="35">
        <v>2</v>
      </c>
      <c r="C14" s="36" t="inlineStr">
        <is>
          <t xml:space="preserve">3-Hydroxypropionic Acid [10G]</t>
        </is>
      </c>
      <c r="D14" s="43" t="inlineStr">
        <is>
          <t xml:space="preserve">H0297</t>
        </is>
      </c>
      <c r="E14" s="37" t="inlineStr">
        <is>
          <t xml:space="preserve">EA</t>
        </is>
      </c>
      <c r="F14" s="38">
        <v>1</v>
      </c>
      <c r="G14" s="41">
        <v>338010</v>
      </c>
      <c r="H14" s="40">
        <f>G14*F14</f>
        <v>338010</v>
      </c>
      <c r="J14" s="39"/>
    </row>
    <row r="15" spans="1:10" s="20" customFormat="1" ht="42" customHeight="1">
      <c r="B15" s="35">
        <v>3</v>
      </c>
      <c r="C15" s="36" t="inlineStr">
        <is>
          <t xml:space="preserve">Riboflavin, 98%</t>
        </is>
      </c>
      <c r="D15" s="42" t="inlineStr">
        <is>
          <t xml:space="preserve">A11764.22</t>
        </is>
      </c>
      <c r="E15" s="37" t="inlineStr">
        <is>
          <t xml:space="preserve">EA</t>
        </is>
      </c>
      <c r="F15" s="44">
        <v>1</v>
      </c>
      <c r="G15" s="41">
        <v>142100</v>
      </c>
      <c r="H15" s="40">
        <f>G15*F15</f>
        <v>142100</v>
      </c>
      <c r="J15" s="39"/>
    </row>
    <row r="16" spans="1:10" s="20" customFormat="1" ht="42" customHeight="1">
      <c r="B16" s="35">
        <v>4</v>
      </c>
      <c r="C16" s="36" t="inlineStr">
        <is>
          <t xml:space="preserve">Trifluoroacetic acid 99%, HPLC, 100mL</t>
        </is>
      </c>
      <c r="D16" s="42" t="inlineStr">
        <is>
          <t xml:space="preserve">8558-2340</t>
        </is>
      </c>
      <c r="E16" s="37" t="inlineStr">
        <is>
          <t xml:space="preserve">EA</t>
        </is>
      </c>
      <c r="F16" s="44">
        <v>1</v>
      </c>
      <c r="G16" s="41">
        <v>92600</v>
      </c>
      <c r="H16" s="40">
        <f>G16*F16</f>
        <v>92600</v>
      </c>
      <c r="J16" s="39"/>
    </row>
    <row r="17" spans="1:10" s="20" customFormat="1" ht="42" customHeight="1">
      <c r="B17" s="22"/>
      <c r="C17" s="28"/>
      <c r="D17" s="27"/>
      <c r="E17" s="21"/>
      <c r="F17" s="21"/>
      <c r="G17" s="23"/>
      <c r="H17" s="29" t="s">
        <v>21</v>
      </c>
    </row>
    <row r="18" spans="1:10" s="20" customFormat="1" ht="42" customHeight="1">
      <c r="B18" s="19"/>
      <c r="C18" s="18" t="s">
        <v>9</v>
      </c>
      <c r="D18" s="17"/>
      <c r="E18" s="17"/>
      <c r="F18" s="17"/>
      <c r="G18" s="16" t="s">
        <v>8</v>
      </c>
      <c r="H18" s="15">
        <f>SUM(H13:H17)</f>
        <v>1572810</v>
      </c>
      <c r="I18" s="7"/>
      <c r="J18" s="7"/>
    </row>
    <row r="19" spans="1:10" s="20" customFormat="1" ht="42" customHeight="1">
      <c r="B19" s="14"/>
      <c r="C19" s="13" t="s">
        <v>20</v>
      </c>
      <c r="D19" s="5"/>
      <c r="E19" s="5"/>
      <c r="F19" s="5"/>
      <c r="G19" s="12" t="s">
        <v>7</v>
      </c>
      <c r="H19" s="11">
        <f>H18/10</f>
        <v>157281</v>
      </c>
      <c r="I19" s="7"/>
      <c r="J19" s="7"/>
    </row>
    <row r="20" spans="1:10" s="20" customFormat="1" ht="42" customHeight="1" thickBot="1">
      <c r="B20" s="1"/>
      <c r="C20" s="6" t="s">
        <v>6</v>
      </c>
      <c r="D20" s="10"/>
      <c r="E20" s="5"/>
      <c r="F20" s="10"/>
      <c r="G20" s="9" t="s">
        <v>5</v>
      </c>
      <c r="H20" s="8">
        <f>SUM(H18:H19)</f>
        <v>1730091</v>
      </c>
      <c r="I20" s="7"/>
      <c r="J20" s="7"/>
    </row>
    <row r="21" spans="1:10" s="20" customFormat="1" ht="42" customHeight="1">
      <c r="B21" s="1"/>
      <c r="C21" s="6" t="s">
        <v>4</v>
      </c>
      <c r="D21" s="6"/>
      <c r="E21" s="5"/>
      <c r="F21" s="1"/>
      <c r="G21" s="59" t="s">
        <v>3</v>
      </c>
      <c r="H21" s="61" t="s">
        <v>2</v>
      </c>
      <c r="I21" s="2"/>
      <c r="J21" s="2"/>
    </row>
    <row r="22" spans="1:10" s="20" customFormat="1" ht="42" customHeight="1" thickBot="1">
      <c r="B22" s="1"/>
      <c r="C22" s="6"/>
      <c r="D22" s="6"/>
      <c r="E22" s="5"/>
      <c r="F22" s="1"/>
      <c r="G22" s="60"/>
      <c r="H22" s="62"/>
      <c r="I22" s="2"/>
      <c r="J22" s="2"/>
    </row>
    <row r="23" spans="1:10" s="20" customFormat="1" ht="42" customHeight="1" thickBot="1">
      <c r="B23" s="1"/>
      <c r="C23" s="6" t="s">
        <v>1</v>
      </c>
      <c r="D23" s="1"/>
      <c r="E23" s="5"/>
      <c r="F23" s="1"/>
      <c r="G23" s="3"/>
      <c r="H23" s="1"/>
      <c r="I23" s="2"/>
      <c r="J23" s="2"/>
    </row>
    <row r="24" spans="1:10" s="20" customFormat="1" ht="42" customHeight="1">
      <c r="B24" s="45" t="s">
        <v>0</v>
      </c>
      <c r="C24" s="46"/>
      <c r="D24" s="46"/>
      <c r="E24" s="46"/>
      <c r="F24" s="46"/>
      <c r="G24" s="46"/>
      <c r="H24" s="47"/>
      <c r="I24" s="2"/>
      <c r="J24" s="2"/>
    </row>
    <row r="25" spans="1:10" s="20" customFormat="1" ht="42" customHeight="1">
      <c r="B25" s="48"/>
      <c r="C25" s="49"/>
      <c r="D25" s="49"/>
      <c r="E25" s="49"/>
      <c r="F25" s="49"/>
      <c r="G25" s="49"/>
      <c r="H25" s="50"/>
      <c r="I25" s="2"/>
      <c r="J25" s="2"/>
    </row>
    <row r="26" spans="1:10" s="20" customFormat="1" ht="42" customHeight="1">
      <c r="B26" s="48"/>
      <c r="C26" s="49"/>
      <c r="D26" s="49"/>
      <c r="E26" s="49"/>
      <c r="F26" s="49"/>
      <c r="G26" s="49"/>
      <c r="H26" s="50"/>
      <c r="I26" s="2"/>
      <c r="J26" s="2"/>
    </row>
    <row r="27" spans="1:10" s="7" customFormat="1" ht="21" customHeight="1">
      <c r="B27" s="48"/>
      <c r="C27" s="49"/>
      <c r="D27" s="49"/>
      <c r="E27" s="49"/>
      <c r="F27" s="49"/>
      <c r="G27" s="49"/>
      <c r="H27" s="50"/>
      <c r="I27" s="2"/>
      <c r="J27" s="2"/>
    </row>
    <row r="28" spans="1:10" s="7" customFormat="1" ht="21" customHeight="1">
      <c r="B28" s="48"/>
      <c r="C28" s="49"/>
      <c r="D28" s="49"/>
      <c r="E28" s="49"/>
      <c r="F28" s="49"/>
      <c r="G28" s="49"/>
      <c r="H28" s="50"/>
      <c r="I28" s="2"/>
      <c r="J28" s="2"/>
    </row>
    <row r="29" spans="1:10" s="7" customFormat="1" ht="21" customHeight="1" thickBot="1">
      <c r="B29" s="51"/>
      <c r="C29" s="52"/>
      <c r="D29" s="52"/>
      <c r="E29" s="52"/>
      <c r="F29" s="52"/>
      <c r="G29" s="52"/>
      <c r="H29" s="53"/>
      <c r="I29" s="2"/>
      <c r="J29" s="2"/>
    </row>
    <row r="30" spans="1:10" s="2" customFormat="1" ht="21" customHeight="1">
      <c r="A30" s="1"/>
      <c r="B30" s="1"/>
      <c r="C30" s="4"/>
      <c r="D30" s="1"/>
      <c r="E30" s="1"/>
      <c r="F30" s="1"/>
      <c r="G30" s="3"/>
      <c r="H30" s="1"/>
    </row>
    <row r="31" spans="1:10" s="2" customFormat="1" ht="21" customHeight="1">
      <c r="A31" s="1"/>
      <c r="B31" s="1"/>
      <c r="C31" s="4"/>
      <c r="D31" s="1"/>
      <c r="E31" s="1"/>
      <c r="F31" s="1"/>
      <c r="G31" s="3"/>
      <c r="H31" s="1"/>
    </row>
    <row r="32" spans="1:10" s="2" customFormat="1" ht="16.5" customHeight="1">
      <c r="A32" s="1"/>
      <c r="B32" s="1"/>
      <c r="C32" s="4"/>
      <c r="D32" s="1"/>
      <c r="E32" s="1"/>
      <c r="F32" s="1"/>
      <c r="G32" s="3"/>
      <c r="H32" s="1"/>
    </row>
    <row r="33" spans="1:10" s="2" customFormat="1" ht="10.5" customHeight="1">
      <c r="A33" s="1"/>
      <c r="B33" s="1"/>
      <c r="C33" s="4"/>
      <c r="D33" s="1"/>
      <c r="E33" s="1"/>
      <c r="F33" s="1"/>
      <c r="G33" s="3"/>
      <c r="H33" s="1"/>
    </row>
    <row r="34" spans="1:10" s="2" customFormat="1" ht="10.5" customHeight="1">
      <c r="A34" s="1"/>
      <c r="B34" s="1"/>
      <c r="C34" s="1"/>
      <c r="D34" s="1"/>
      <c r="E34" s="1"/>
      <c r="F34" s="1"/>
      <c r="G34" s="3"/>
      <c r="H34" s="1"/>
      <c r="I34" s="1"/>
      <c r="J34" s="1"/>
    </row>
    <row r="35" spans="1:10" s="2" customFormat="1" ht="10.5" customHeight="1">
      <c r="A35" s="1"/>
      <c r="B35" s="1"/>
      <c r="C35" s="1"/>
      <c r="D35" s="1"/>
      <c r="E35" s="1"/>
      <c r="F35" s="1"/>
      <c r="G35" s="3"/>
      <c r="H35" s="1"/>
      <c r="I35" s="1"/>
      <c r="J35" s="1"/>
    </row>
    <row r="36" spans="1:10" s="2" customFormat="1" ht="10.5" customHeight="1">
      <c r="A36" s="1"/>
      <c r="B36" s="1"/>
      <c r="C36" s="1"/>
      <c r="D36" s="1"/>
      <c r="E36" s="1"/>
      <c r="F36" s="1"/>
      <c r="G36" s="3"/>
      <c r="H36" s="1"/>
      <c r="I36" s="1"/>
      <c r="J36" s="1"/>
    </row>
    <row r="37" spans="1:10" s="2" customFormat="1" ht="10.5" customHeight="1">
      <c r="A37" s="1"/>
      <c r="B37" s="1"/>
      <c r="C37" s="1"/>
      <c r="D37" s="1"/>
      <c r="E37" s="1"/>
      <c r="F37" s="1"/>
      <c r="G37" s="3"/>
      <c r="H37" s="1"/>
      <c r="I37" s="1"/>
      <c r="J37" s="1"/>
    </row>
    <row r="38" spans="1:10" s="2" customFormat="1" ht="10.5" customHeight="1">
      <c r="A38" s="1"/>
      <c r="B38" s="1"/>
      <c r="C38" s="1"/>
      <c r="D38" s="1"/>
      <c r="E38" s="1"/>
      <c r="F38" s="1"/>
      <c r="G38" s="3"/>
      <c r="H38" s="1"/>
      <c r="I38" s="1"/>
      <c r="J38" s="1"/>
    </row>
    <row r="39" spans="1:10" s="2" customFormat="1">
      <c r="A39" s="1"/>
      <c r="B39" s="1"/>
      <c r="C39" s="1"/>
      <c r="D39" s="1"/>
      <c r="E39" s="1"/>
      <c r="F39" s="1"/>
      <c r="G39" s="3"/>
      <c r="H39" s="1"/>
      <c r="I39" s="1"/>
      <c r="J39" s="1"/>
    </row>
    <row r="40" spans="1:10" s="2" customFormat="1">
      <c r="A40" s="1"/>
      <c r="B40" s="1"/>
      <c r="C40" s="1"/>
      <c r="D40" s="1"/>
      <c r="E40" s="1"/>
      <c r="F40" s="1"/>
      <c r="G40" s="3"/>
      <c r="H40" s="1"/>
      <c r="I40" s="1"/>
      <c r="J40" s="1"/>
    </row>
    <row r="41" spans="1:10" s="2" customFormat="1">
      <c r="A41" s="1"/>
      <c r="B41" s="1"/>
      <c r="C41" s="1"/>
      <c r="D41" s="1"/>
      <c r="E41" s="1"/>
      <c r="F41" s="1"/>
      <c r="G41" s="3"/>
      <c r="H41" s="1"/>
      <c r="I41" s="1"/>
      <c r="J41" s="1"/>
    </row>
    <row r="42" spans="1:10" s="2" customFormat="1">
      <c r="A42" s="1"/>
      <c r="B42" s="1"/>
      <c r="C42" s="1"/>
      <c r="D42" s="1"/>
      <c r="E42" s="1"/>
      <c r="F42" s="1"/>
      <c r="G42" s="3"/>
      <c r="H42" s="1"/>
      <c r="I42" s="1"/>
      <c r="J42" s="1"/>
    </row>
  </sheetData>
  <mergeCells count="7">
    <mergeCell ref="B24:H29"/>
    <mergeCell ref="A1:H1"/>
    <mergeCell ref="C4:C5"/>
    <mergeCell ref="C9:C10"/>
    <mergeCell ref="D11:H11"/>
    <mergeCell ref="G21:G22"/>
    <mergeCell ref="H21:H22"/>
  </mergeCells>
  <phoneticPr fontId="3" type="noConversion"/>
  <hyperlinks>
    <hyperlink ref="D11" r:id="rId1" xr:uid="{00000000-0004-0000-0000-000000000000}"/>
  </hyperlinks>
  <pageMargins left="0.17" right="0.16" top="1.07" bottom="0.7" header="0.5" footer="0.5"/>
  <pageSetup paperSize="9" scale="99" orientation="portrait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workbookViewId="0">
      <selection activeCell="C7" sqref="C7"/>
    </sheetView>
  </sheetViews>
  <sheetFormatPr defaultColWidth="8.88671875" defaultRowHeight="13.5"/>
  <cols>
    <col min="1" max="1" width="1.77734375" style="1" customWidth="1"/>
    <col min="2" max="2" width="3.33203125" style="1" customWidth="1"/>
    <col min="3" max="3" width="38" style="1" customWidth="1"/>
    <col min="4" max="4" width="12.44140625" style="1" customWidth="1"/>
    <col min="5" max="6" width="4.5546875" style="1" customWidth="1"/>
    <col min="7" max="7" width="11.33203125" style="3" customWidth="1"/>
    <col min="8" max="8" width="11.77734375" style="1" customWidth="1"/>
    <col min="9" max="16384" width="8.88671875" style="1"/>
  </cols>
  <sheetData>
    <row r="1" spans="1:10" ht="46.5">
      <c r="A1" s="54" t="s">
        <v>19</v>
      </c>
      <c r="B1" s="54"/>
      <c r="C1" s="54"/>
      <c r="D1" s="54"/>
      <c r="E1" s="54"/>
      <c r="F1" s="54"/>
      <c r="G1" s="54"/>
      <c r="H1" s="54"/>
    </row>
    <row r="2" spans="1:10">
      <c r="C2" s="6"/>
    </row>
    <row r="4" spans="1:10" ht="17.25" customHeight="1">
      <c r="C4" s="55" t="inlineStr">
        <is>
          <t xml:space="preserve">전남대학교 산학협력단  귀하</t>
        </is>
      </c>
    </row>
    <row r="5" spans="1:10" ht="17.25" customHeight="1">
      <c r="C5" s="56"/>
    </row>
    <row r="6" spans="1:10" ht="17.25" customHeight="1">
      <c r="C6" s="25"/>
    </row>
    <row r="7" spans="1:10" ht="17.25" customHeight="1">
      <c r="C7" s="33" t="s">
        <v>24</v>
      </c>
    </row>
    <row r="8" spans="1:10" ht="17.25" customHeight="1">
      <c r="C8" s="26"/>
    </row>
    <row r="9" spans="1:10" ht="17.25" customHeight="1">
      <c r="C9" s="57" t="s">
        <v>18</v>
      </c>
    </row>
    <row r="10" spans="1:10" ht="17.25" customHeight="1">
      <c r="C10" s="57"/>
    </row>
    <row r="11" spans="1:10" ht="18.75" customHeight="1">
      <c r="C11" s="24"/>
      <c r="D11" s="58" t="s">
        <v>17</v>
      </c>
      <c r="E11" s="58"/>
      <c r="F11" s="58"/>
      <c r="G11" s="58"/>
      <c r="H11" s="58"/>
    </row>
    <row r="12" spans="1:10" s="14" customFormat="1" ht="28.5" customHeight="1">
      <c r="B12" s="34" t="s">
        <v>16</v>
      </c>
      <c r="C12" s="30" t="s">
        <v>15</v>
      </c>
      <c r="D12" s="31" t="s">
        <v>14</v>
      </c>
      <c r="E12" s="31" t="s">
        <v>13</v>
      </c>
      <c r="F12" s="30" t="s">
        <v>12</v>
      </c>
      <c r="G12" s="32" t="s">
        <v>11</v>
      </c>
      <c r="H12" s="30" t="s">
        <v>10</v>
      </c>
    </row>
    <row r="13" spans="1:10" s="20" customFormat="1" ht="42" customHeight="1">
      <c r="B13" s="35">
        <v>1</v>
      </c>
      <c r="C13" s="36" t="inlineStr">
        <is>
          <t xml:space="preserve">Amicon Ultra-15</t>
        </is>
      </c>
      <c r="D13" s="42" t="inlineStr">
        <is>
          <t xml:space="preserve">UFC901024</t>
        </is>
      </c>
      <c r="E13" s="37" t="inlineStr">
        <is>
          <t xml:space="preserve">EA</t>
        </is>
      </c>
      <c r="F13" s="38">
        <v>1</v>
      </c>
      <c r="G13" s="41">
        <v>669000</v>
      </c>
      <c r="H13" s="40">
        <f>G13*F13</f>
        <v>669000</v>
      </c>
      <c r="J13" s="39"/>
    </row>
    <row r="14" spans="1:10" s="20" customFormat="1" ht="42" customHeight="1">
      <c r="B14" s="35">
        <v>2</v>
      </c>
      <c r="C14" s="36" t="inlineStr">
        <is>
          <t xml:space="preserve">Quick-DNA Fungal/Bacterial Kit 50Preps</t>
        </is>
      </c>
      <c r="D14" s="43" t="inlineStr">
        <is>
          <t xml:space="preserve">D6005</t>
        </is>
      </c>
      <c r="E14" s="37" t="inlineStr">
        <is>
          <t xml:space="preserve">EA</t>
        </is>
      </c>
      <c r="F14" s="38">
        <v>1</v>
      </c>
      <c r="G14" s="41">
        <v>408410</v>
      </c>
      <c r="H14" s="40">
        <f>G14*F14</f>
        <v>408410</v>
      </c>
      <c r="J14" s="39"/>
    </row>
    <row r="15" spans="1:10" s="20" customFormat="1" ht="42" customHeight="1">
      <c r="B15" s="35">
        <v>3</v>
      </c>
      <c r="C15" s="36" t="inlineStr">
        <is>
          <t xml:space="preserve">Fisher Water HPLC GRADE 4L [4EA/BOX]</t>
        </is>
      </c>
      <c r="D15" s="42" t="inlineStr">
        <is>
          <t xml:space="preserve">W5-4</t>
        </is>
      </c>
      <c r="E15" s="37" t="inlineStr">
        <is>
          <t xml:space="preserve">BOX</t>
        </is>
      </c>
      <c r="F15" s="44">
        <v>2</v>
      </c>
      <c r="G15" s="41">
        <v>111300</v>
      </c>
      <c r="H15" s="40">
        <f>G15*F15</f>
        <v>222600</v>
      </c>
      <c r="J15" s="39"/>
    </row>
    <row r="16" spans="1:10" s="20" customFormat="1" ht="42" customHeight="1">
      <c r="B16" s="35">
        <v>4</v>
      </c>
      <c r="C16" s="36" t="inlineStr">
        <is>
          <t xml:space="preserve">Red PTFE/white silicone septa, blue, screw cap, 2ml, 100/pk</t>
        </is>
      </c>
      <c r="D16" s="42" t="inlineStr">
        <is>
          <t xml:space="preserve">CTC-0952RB</t>
        </is>
      </c>
      <c r="E16" s="37" t="inlineStr">
        <is>
          <t xml:space="preserve">PK</t>
        </is>
      </c>
      <c r="F16" s="44">
        <v>10</v>
      </c>
      <c r="G16" s="41">
        <v>34850</v>
      </c>
      <c r="H16" s="40">
        <f>G16*F16</f>
        <v>348500</v>
      </c>
      <c r="J16" s="39"/>
    </row>
    <row r="17" spans="1:10" s="20" customFormat="1" ht="42" customHeight="1">
      <c r="B17" s="22"/>
      <c r="C17" s="28"/>
      <c r="D17" s="27"/>
      <c r="E17" s="21"/>
      <c r="F17" s="21"/>
      <c r="G17" s="23"/>
      <c r="H17" s="29" t="s">
        <v>21</v>
      </c>
    </row>
    <row r="18" spans="1:10" s="20" customFormat="1" ht="42" customHeight="1">
      <c r="B18" s="19"/>
      <c r="C18" s="18" t="s">
        <v>9</v>
      </c>
      <c r="D18" s="17"/>
      <c r="E18" s="17"/>
      <c r="F18" s="17"/>
      <c r="G18" s="16" t="s">
        <v>8</v>
      </c>
      <c r="H18" s="15">
        <f>SUM(H13:H17)</f>
        <v>1648510</v>
      </c>
      <c r="I18" s="7"/>
      <c r="J18" s="7"/>
    </row>
    <row r="19" spans="1:10" s="20" customFormat="1" ht="42" customHeight="1">
      <c r="B19" s="14"/>
      <c r="C19" s="13" t="s">
        <v>20</v>
      </c>
      <c r="D19" s="5"/>
      <c r="E19" s="5"/>
      <c r="F19" s="5"/>
      <c r="G19" s="12" t="s">
        <v>7</v>
      </c>
      <c r="H19" s="11">
        <f>H18/10</f>
        <v>164851</v>
      </c>
      <c r="I19" s="7"/>
      <c r="J19" s="7"/>
    </row>
    <row r="20" spans="1:10" s="20" customFormat="1" ht="42" customHeight="1" thickBot="1">
      <c r="B20" s="1"/>
      <c r="C20" s="6" t="s">
        <v>6</v>
      </c>
      <c r="D20" s="10"/>
      <c r="E20" s="5"/>
      <c r="F20" s="10"/>
      <c r="G20" s="9" t="s">
        <v>5</v>
      </c>
      <c r="H20" s="8">
        <f>SUM(H18:H19)</f>
        <v>1813361</v>
      </c>
      <c r="I20" s="7"/>
      <c r="J20" s="7"/>
    </row>
    <row r="21" spans="1:10" s="20" customFormat="1" ht="42" customHeight="1">
      <c r="B21" s="1"/>
      <c r="C21" s="6" t="s">
        <v>4</v>
      </c>
      <c r="D21" s="6"/>
      <c r="E21" s="5"/>
      <c r="F21" s="1"/>
      <c r="G21" s="59" t="s">
        <v>3</v>
      </c>
      <c r="H21" s="61" t="s">
        <v>2</v>
      </c>
      <c r="I21" s="2"/>
      <c r="J21" s="2"/>
    </row>
    <row r="22" spans="1:10" s="20" customFormat="1" ht="42" customHeight="1" thickBot="1">
      <c r="B22" s="1"/>
      <c r="C22" s="6"/>
      <c r="D22" s="6"/>
      <c r="E22" s="5"/>
      <c r="F22" s="1"/>
      <c r="G22" s="60"/>
      <c r="H22" s="62"/>
      <c r="I22" s="2"/>
      <c r="J22" s="2"/>
    </row>
    <row r="23" spans="1:10" s="20" customFormat="1" ht="42" customHeight="1" thickBot="1">
      <c r="B23" s="1"/>
      <c r="C23" s="6" t="s">
        <v>1</v>
      </c>
      <c r="D23" s="1"/>
      <c r="E23" s="5"/>
      <c r="F23" s="1"/>
      <c r="G23" s="3"/>
      <c r="H23" s="1"/>
      <c r="I23" s="2"/>
      <c r="J23" s="2"/>
    </row>
    <row r="24" spans="1:10" s="20" customFormat="1" ht="42" customHeight="1">
      <c r="B24" s="45" t="s">
        <v>0</v>
      </c>
      <c r="C24" s="46"/>
      <c r="D24" s="46"/>
      <c r="E24" s="46"/>
      <c r="F24" s="46"/>
      <c r="G24" s="46"/>
      <c r="H24" s="47"/>
      <c r="I24" s="2"/>
      <c r="J24" s="2"/>
    </row>
    <row r="25" spans="1:10" s="20" customFormat="1" ht="42" customHeight="1">
      <c r="B25" s="48"/>
      <c r="C25" s="49"/>
      <c r="D25" s="49"/>
      <c r="E25" s="49"/>
      <c r="F25" s="49"/>
      <c r="G25" s="49"/>
      <c r="H25" s="50"/>
      <c r="I25" s="2"/>
      <c r="J25" s="2"/>
    </row>
    <row r="26" spans="1:10" s="20" customFormat="1" ht="42" customHeight="1">
      <c r="B26" s="48"/>
      <c r="C26" s="49"/>
      <c r="D26" s="49"/>
      <c r="E26" s="49"/>
      <c r="F26" s="49"/>
      <c r="G26" s="49"/>
      <c r="H26" s="50"/>
      <c r="I26" s="2"/>
      <c r="J26" s="2"/>
    </row>
    <row r="27" spans="1:10" s="7" customFormat="1" ht="21" customHeight="1">
      <c r="B27" s="48"/>
      <c r="C27" s="49"/>
      <c r="D27" s="49"/>
      <c r="E27" s="49"/>
      <c r="F27" s="49"/>
      <c r="G27" s="49"/>
      <c r="H27" s="50"/>
      <c r="I27" s="2"/>
      <c r="J27" s="2"/>
    </row>
    <row r="28" spans="1:10" s="7" customFormat="1" ht="21" customHeight="1">
      <c r="B28" s="48"/>
      <c r="C28" s="49"/>
      <c r="D28" s="49"/>
      <c r="E28" s="49"/>
      <c r="F28" s="49"/>
      <c r="G28" s="49"/>
      <c r="H28" s="50"/>
      <c r="I28" s="2"/>
      <c r="J28" s="2"/>
    </row>
    <row r="29" spans="1:10" s="7" customFormat="1" ht="21" customHeight="1" thickBot="1">
      <c r="B29" s="51"/>
      <c r="C29" s="52"/>
      <c r="D29" s="52"/>
      <c r="E29" s="52"/>
      <c r="F29" s="52"/>
      <c r="G29" s="52"/>
      <c r="H29" s="53"/>
      <c r="I29" s="2"/>
      <c r="J29" s="2"/>
    </row>
    <row r="30" spans="1:10" s="2" customFormat="1" ht="21" customHeight="1">
      <c r="A30" s="1"/>
      <c r="B30" s="1"/>
      <c r="C30" s="4"/>
      <c r="D30" s="1"/>
      <c r="E30" s="1"/>
      <c r="F30" s="1"/>
      <c r="G30" s="3"/>
      <c r="H30" s="1"/>
    </row>
    <row r="31" spans="1:10" s="2" customFormat="1" ht="21" customHeight="1">
      <c r="A31" s="1"/>
      <c r="B31" s="1"/>
      <c r="C31" s="4"/>
      <c r="D31" s="1"/>
      <c r="E31" s="1"/>
      <c r="F31" s="1"/>
      <c r="G31" s="3"/>
      <c r="H31" s="1"/>
    </row>
    <row r="32" spans="1:10" s="2" customFormat="1" ht="16.5" customHeight="1">
      <c r="A32" s="1"/>
      <c r="B32" s="1"/>
      <c r="C32" s="4"/>
      <c r="D32" s="1"/>
      <c r="E32" s="1"/>
      <c r="F32" s="1"/>
      <c r="G32" s="3"/>
      <c r="H32" s="1"/>
    </row>
    <row r="33" spans="1:10" s="2" customFormat="1" ht="10.5" customHeight="1">
      <c r="A33" s="1"/>
      <c r="B33" s="1"/>
      <c r="C33" s="4"/>
      <c r="D33" s="1"/>
      <c r="E33" s="1"/>
      <c r="F33" s="1"/>
      <c r="G33" s="3"/>
      <c r="H33" s="1"/>
    </row>
    <row r="34" spans="1:10" s="2" customFormat="1" ht="10.5" customHeight="1">
      <c r="A34" s="1"/>
      <c r="B34" s="1"/>
      <c r="C34" s="1"/>
      <c r="D34" s="1"/>
      <c r="E34" s="1"/>
      <c r="F34" s="1"/>
      <c r="G34" s="3"/>
      <c r="H34" s="1"/>
      <c r="I34" s="1"/>
      <c r="J34" s="1"/>
    </row>
    <row r="35" spans="1:10" s="2" customFormat="1" ht="10.5" customHeight="1">
      <c r="A35" s="1"/>
      <c r="B35" s="1"/>
      <c r="C35" s="1"/>
      <c r="D35" s="1"/>
      <c r="E35" s="1"/>
      <c r="F35" s="1"/>
      <c r="G35" s="3"/>
      <c r="H35" s="1"/>
      <c r="I35" s="1"/>
      <c r="J35" s="1"/>
    </row>
    <row r="36" spans="1:10" s="2" customFormat="1" ht="10.5" customHeight="1">
      <c r="A36" s="1"/>
      <c r="B36" s="1"/>
      <c r="C36" s="1"/>
      <c r="D36" s="1"/>
      <c r="E36" s="1"/>
      <c r="F36" s="1"/>
      <c r="G36" s="3"/>
      <c r="H36" s="1"/>
      <c r="I36" s="1"/>
      <c r="J36" s="1"/>
    </row>
    <row r="37" spans="1:10" s="2" customFormat="1" ht="10.5" customHeight="1">
      <c r="A37" s="1"/>
      <c r="B37" s="1"/>
      <c r="C37" s="1"/>
      <c r="D37" s="1"/>
      <c r="E37" s="1"/>
      <c r="F37" s="1"/>
      <c r="G37" s="3"/>
      <c r="H37" s="1"/>
      <c r="I37" s="1"/>
      <c r="J37" s="1"/>
    </row>
    <row r="38" spans="1:10" s="2" customFormat="1" ht="10.5" customHeight="1">
      <c r="A38" s="1"/>
      <c r="B38" s="1"/>
      <c r="C38" s="1"/>
      <c r="D38" s="1"/>
      <c r="E38" s="1"/>
      <c r="F38" s="1"/>
      <c r="G38" s="3"/>
      <c r="H38" s="1"/>
      <c r="I38" s="1"/>
      <c r="J38" s="1"/>
    </row>
    <row r="39" spans="1:10" s="2" customFormat="1">
      <c r="A39" s="1"/>
      <c r="B39" s="1"/>
      <c r="C39" s="1"/>
      <c r="D39" s="1"/>
      <c r="E39" s="1"/>
      <c r="F39" s="1"/>
      <c r="G39" s="3"/>
      <c r="H39" s="1"/>
      <c r="I39" s="1"/>
      <c r="J39" s="1"/>
    </row>
    <row r="40" spans="1:10" s="2" customFormat="1">
      <c r="A40" s="1"/>
      <c r="B40" s="1"/>
      <c r="C40" s="1"/>
      <c r="D40" s="1"/>
      <c r="E40" s="1"/>
      <c r="F40" s="1"/>
      <c r="G40" s="3"/>
      <c r="H40" s="1"/>
      <c r="I40" s="1"/>
      <c r="J40" s="1"/>
    </row>
    <row r="41" spans="1:10" s="2" customFormat="1">
      <c r="A41" s="1"/>
      <c r="B41" s="1"/>
      <c r="C41" s="1"/>
      <c r="D41" s="1"/>
      <c r="E41" s="1"/>
      <c r="F41" s="1"/>
      <c r="G41" s="3"/>
      <c r="H41" s="1"/>
      <c r="I41" s="1"/>
      <c r="J41" s="1"/>
    </row>
    <row r="42" spans="1:10" s="2" customFormat="1">
      <c r="A42" s="1"/>
      <c r="B42" s="1"/>
      <c r="C42" s="1"/>
      <c r="D42" s="1"/>
      <c r="E42" s="1"/>
      <c r="F42" s="1"/>
      <c r="G42" s="3"/>
      <c r="H42" s="1"/>
      <c r="I42" s="1"/>
      <c r="J42" s="1"/>
    </row>
  </sheetData>
  <mergeCells count="7">
    <mergeCell ref="B24:H29"/>
    <mergeCell ref="A1:H1"/>
    <mergeCell ref="C4:C5"/>
    <mergeCell ref="C9:C10"/>
    <mergeCell ref="D11:H11"/>
    <mergeCell ref="G21:G22"/>
    <mergeCell ref="H21:H22"/>
  </mergeCells>
  <phoneticPr fontId="3" type="noConversion"/>
  <hyperlinks>
    <hyperlink ref="D11" r:id="rId1" xr:uid="{00000000-0004-0000-0000-000000000000}"/>
  </hyperlinks>
  <pageMargins left="0.17" right="0.16" top="1.07" bottom="0.7" header="0.5" footer="0.5"/>
  <pageSetup paperSize="9" scale="99" orientation="portrait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workbookViewId="0">
      <selection activeCell="C7" sqref="C7"/>
    </sheetView>
  </sheetViews>
  <sheetFormatPr defaultColWidth="8.88671875" defaultRowHeight="13.5"/>
  <cols>
    <col min="1" max="1" width="1.77734375" style="1" customWidth="1"/>
    <col min="2" max="2" width="3.33203125" style="1" customWidth="1"/>
    <col min="3" max="3" width="38" style="1" customWidth="1"/>
    <col min="4" max="4" width="12.44140625" style="1" customWidth="1"/>
    <col min="5" max="6" width="4.5546875" style="1" customWidth="1"/>
    <col min="7" max="7" width="11.33203125" style="3" customWidth="1"/>
    <col min="8" max="8" width="11.77734375" style="1" customWidth="1"/>
    <col min="9" max="16384" width="8.88671875" style="1"/>
  </cols>
  <sheetData>
    <row r="1" spans="1:10" ht="46.5">
      <c r="A1" s="54" t="s">
        <v>19</v>
      </c>
      <c r="B1" s="54"/>
      <c r="C1" s="54"/>
      <c r="D1" s="54"/>
      <c r="E1" s="54"/>
      <c r="F1" s="54"/>
      <c r="G1" s="54"/>
      <c r="H1" s="54"/>
    </row>
    <row r="2" spans="1:10">
      <c r="C2" s="6"/>
    </row>
    <row r="4" spans="1:10" ht="17.25" customHeight="1">
      <c r="C4" s="55" t="inlineStr">
        <is>
          <t xml:space="preserve">전남대학교 산학협력단  귀하</t>
        </is>
      </c>
    </row>
    <row r="5" spans="1:10" ht="17.25" customHeight="1">
      <c r="C5" s="56"/>
    </row>
    <row r="6" spans="1:10" ht="17.25" customHeight="1">
      <c r="C6" s="25"/>
    </row>
    <row r="7" spans="1:10" ht="17.25" customHeight="1">
      <c r="C7" s="33" t="s">
        <v>24</v>
      </c>
    </row>
    <row r="8" spans="1:10" ht="17.25" customHeight="1">
      <c r="C8" s="26"/>
    </row>
    <row r="9" spans="1:10" ht="17.25" customHeight="1">
      <c r="C9" s="57" t="s">
        <v>18</v>
      </c>
    </row>
    <row r="10" spans="1:10" ht="17.25" customHeight="1">
      <c r="C10" s="57"/>
    </row>
    <row r="11" spans="1:10" ht="18.75" customHeight="1">
      <c r="C11" s="24"/>
      <c r="D11" s="58" t="s">
        <v>17</v>
      </c>
      <c r="E11" s="58"/>
      <c r="F11" s="58"/>
      <c r="G11" s="58"/>
      <c r="H11" s="58"/>
    </row>
    <row r="12" spans="1:10" s="14" customFormat="1" ht="28.5" customHeight="1">
      <c r="B12" s="34" t="s">
        <v>16</v>
      </c>
      <c r="C12" s="30" t="s">
        <v>15</v>
      </c>
      <c r="D12" s="31" t="s">
        <v>14</v>
      </c>
      <c r="E12" s="31" t="s">
        <v>13</v>
      </c>
      <c r="F12" s="30" t="s">
        <v>12</v>
      </c>
      <c r="G12" s="32" t="s">
        <v>11</v>
      </c>
      <c r="H12" s="30" t="s">
        <v>10</v>
      </c>
    </row>
    <row r="13" spans="1:10" s="20" customFormat="1" ht="42" customHeight="1">
      <c r="B13" s="35">
        <v>1</v>
      </c>
      <c r="C13" s="36" t="inlineStr">
        <is>
          <t xml:space="preserve">Acetonitrile(HPLC) [4ea/box]</t>
        </is>
      </c>
      <c r="D13" s="42" t="inlineStr">
        <is>
          <t xml:space="preserve">A998-4</t>
        </is>
      </c>
      <c r="E13" s="37" t="inlineStr">
        <is>
          <t xml:space="preserve">BOX</t>
        </is>
      </c>
      <c r="F13" s="38">
        <v>2</v>
      </c>
      <c r="G13" s="41">
        <v>322500</v>
      </c>
      <c r="H13" s="40">
        <f>G13*F13</f>
        <v>645000</v>
      </c>
      <c r="J13" s="39"/>
    </row>
    <row r="14" spans="1:10" s="20" customFormat="1" ht="42" customHeight="1">
      <c r="B14" s="35">
        <v>2</v>
      </c>
      <c r="C14" s="36" t="inlineStr">
        <is>
          <t xml:space="preserve">β-Nicotinamide adenine dinucleotide, reduced disodium salt hydrate</t>
        </is>
      </c>
      <c r="D14" s="43" t="inlineStr">
        <is>
          <t xml:space="preserve">N8129-1G</t>
        </is>
      </c>
      <c r="E14" s="37" t="inlineStr">
        <is>
          <t xml:space="preserve">EA</t>
        </is>
      </c>
      <c r="F14" s="38">
        <v>1</v>
      </c>
      <c r="G14" s="41">
        <v>412700</v>
      </c>
      <c r="H14" s="40">
        <f>G14*F14</f>
        <v>412700</v>
      </c>
      <c r="J14" s="39"/>
    </row>
    <row r="15" spans="1:10" s="20" customFormat="1" ht="42" customHeight="1">
      <c r="B15" s="35">
        <v>3</v>
      </c>
      <c r="C15" s="36" t="inlineStr">
        <is>
          <t xml:space="preserve">Acetyl coenzyme A lithium salt</t>
        </is>
      </c>
      <c r="D15" s="42" t="inlineStr">
        <is>
          <t xml:space="preserve">A2181-5MG</t>
        </is>
      </c>
      <c r="E15" s="37" t="inlineStr">
        <is>
          <t xml:space="preserve">EA</t>
        </is>
      </c>
      <c r="F15" s="44">
        <v>1</v>
      </c>
      <c r="G15" s="41">
        <v>211400</v>
      </c>
      <c r="H15" s="40">
        <f>G15*F15</f>
        <v>211400</v>
      </c>
      <c r="J15" s="39"/>
    </row>
    <row r="16" spans="1:10" s="20" customFormat="1" ht="42" customHeight="1">
      <c r="B16" s="35">
        <v>4</v>
      </c>
      <c r="C16" s="36" t="inlineStr">
        <is>
          <t xml:space="preserve">Agilent 250ul insert, polypropylene 100/PK</t>
        </is>
      </c>
      <c r="D16" s="42" t="inlineStr">
        <is>
          <t xml:space="preserve">5182-0549</t>
        </is>
      </c>
      <c r="E16" s="37" t="inlineStr">
        <is>
          <t xml:space="preserve">PK</t>
        </is>
      </c>
      <c r="F16" s="44">
        <v>5</v>
      </c>
      <c r="G16" s="41">
        <v>56300</v>
      </c>
      <c r="H16" s="40">
        <f>G16*F16</f>
        <v>281500</v>
      </c>
      <c r="J16" s="39"/>
    </row>
    <row r="17" spans="1:10" s="20" customFormat="1" ht="42" customHeight="1">
      <c r="B17" s="22"/>
      <c r="C17" s="28"/>
      <c r="D17" s="27"/>
      <c r="E17" s="21"/>
      <c r="F17" s="21"/>
      <c r="G17" s="23"/>
      <c r="H17" s="29" t="s">
        <v>21</v>
      </c>
    </row>
    <row r="18" spans="1:10" s="20" customFormat="1" ht="42" customHeight="1">
      <c r="B18" s="19"/>
      <c r="C18" s="18" t="s">
        <v>9</v>
      </c>
      <c r="D18" s="17"/>
      <c r="E18" s="17"/>
      <c r="F18" s="17"/>
      <c r="G18" s="16" t="s">
        <v>8</v>
      </c>
      <c r="H18" s="15">
        <f>SUM(H13:H17)</f>
        <v>1550600</v>
      </c>
      <c r="I18" s="7"/>
      <c r="J18" s="7"/>
    </row>
    <row r="19" spans="1:10" s="20" customFormat="1" ht="42" customHeight="1">
      <c r="B19" s="14"/>
      <c r="C19" s="13" t="s">
        <v>20</v>
      </c>
      <c r="D19" s="5"/>
      <c r="E19" s="5"/>
      <c r="F19" s="5"/>
      <c r="G19" s="12" t="s">
        <v>7</v>
      </c>
      <c r="H19" s="11">
        <f>H18/10</f>
        <v>155060</v>
      </c>
      <c r="I19" s="7"/>
      <c r="J19" s="7"/>
    </row>
    <row r="20" spans="1:10" s="20" customFormat="1" ht="42" customHeight="1" thickBot="1">
      <c r="B20" s="1"/>
      <c r="C20" s="6" t="s">
        <v>6</v>
      </c>
      <c r="D20" s="10"/>
      <c r="E20" s="5"/>
      <c r="F20" s="10"/>
      <c r="G20" s="9" t="s">
        <v>5</v>
      </c>
      <c r="H20" s="8">
        <f>SUM(H18:H19)</f>
        <v>1705660</v>
      </c>
      <c r="I20" s="7"/>
      <c r="J20" s="7"/>
    </row>
    <row r="21" spans="1:10" s="20" customFormat="1" ht="42" customHeight="1">
      <c r="B21" s="1"/>
      <c r="C21" s="6" t="s">
        <v>4</v>
      </c>
      <c r="D21" s="6"/>
      <c r="E21" s="5"/>
      <c r="F21" s="1"/>
      <c r="G21" s="59" t="s">
        <v>3</v>
      </c>
      <c r="H21" s="61" t="s">
        <v>2</v>
      </c>
      <c r="I21" s="2"/>
      <c r="J21" s="2"/>
    </row>
    <row r="22" spans="1:10" s="20" customFormat="1" ht="42" customHeight="1" thickBot="1">
      <c r="B22" s="1"/>
      <c r="C22" s="6"/>
      <c r="D22" s="6"/>
      <c r="E22" s="5"/>
      <c r="F22" s="1"/>
      <c r="G22" s="60"/>
      <c r="H22" s="62"/>
      <c r="I22" s="2"/>
      <c r="J22" s="2"/>
    </row>
    <row r="23" spans="1:10" s="20" customFormat="1" ht="42" customHeight="1" thickBot="1">
      <c r="B23" s="1"/>
      <c r="C23" s="6" t="s">
        <v>1</v>
      </c>
      <c r="D23" s="1"/>
      <c r="E23" s="5"/>
      <c r="F23" s="1"/>
      <c r="G23" s="3"/>
      <c r="H23" s="1"/>
      <c r="I23" s="2"/>
      <c r="J23" s="2"/>
    </row>
    <row r="24" spans="1:10" s="20" customFormat="1" ht="42" customHeight="1">
      <c r="B24" s="45" t="s">
        <v>0</v>
      </c>
      <c r="C24" s="46"/>
      <c r="D24" s="46"/>
      <c r="E24" s="46"/>
      <c r="F24" s="46"/>
      <c r="G24" s="46"/>
      <c r="H24" s="47"/>
      <c r="I24" s="2"/>
      <c r="J24" s="2"/>
    </row>
    <row r="25" spans="1:10" s="20" customFormat="1" ht="42" customHeight="1">
      <c r="B25" s="48"/>
      <c r="C25" s="49"/>
      <c r="D25" s="49"/>
      <c r="E25" s="49"/>
      <c r="F25" s="49"/>
      <c r="G25" s="49"/>
      <c r="H25" s="50"/>
      <c r="I25" s="2"/>
      <c r="J25" s="2"/>
    </row>
    <row r="26" spans="1:10" s="20" customFormat="1" ht="42" customHeight="1">
      <c r="B26" s="48"/>
      <c r="C26" s="49"/>
      <c r="D26" s="49"/>
      <c r="E26" s="49"/>
      <c r="F26" s="49"/>
      <c r="G26" s="49"/>
      <c r="H26" s="50"/>
      <c r="I26" s="2"/>
      <c r="J26" s="2"/>
    </row>
    <row r="27" spans="1:10" s="7" customFormat="1" ht="21" customHeight="1">
      <c r="B27" s="48"/>
      <c r="C27" s="49"/>
      <c r="D27" s="49"/>
      <c r="E27" s="49"/>
      <c r="F27" s="49"/>
      <c r="G27" s="49"/>
      <c r="H27" s="50"/>
      <c r="I27" s="2"/>
      <c r="J27" s="2"/>
    </row>
    <row r="28" spans="1:10" s="7" customFormat="1" ht="21" customHeight="1">
      <c r="B28" s="48"/>
      <c r="C28" s="49"/>
      <c r="D28" s="49"/>
      <c r="E28" s="49"/>
      <c r="F28" s="49"/>
      <c r="G28" s="49"/>
      <c r="H28" s="50"/>
      <c r="I28" s="2"/>
      <c r="J28" s="2"/>
    </row>
    <row r="29" spans="1:10" s="7" customFormat="1" ht="21" customHeight="1" thickBot="1">
      <c r="B29" s="51"/>
      <c r="C29" s="52"/>
      <c r="D29" s="52"/>
      <c r="E29" s="52"/>
      <c r="F29" s="52"/>
      <c r="G29" s="52"/>
      <c r="H29" s="53"/>
      <c r="I29" s="2"/>
      <c r="J29" s="2"/>
    </row>
    <row r="30" spans="1:10" s="2" customFormat="1" ht="21" customHeight="1">
      <c r="A30" s="1"/>
      <c r="B30" s="1"/>
      <c r="C30" s="4"/>
      <c r="D30" s="1"/>
      <c r="E30" s="1"/>
      <c r="F30" s="1"/>
      <c r="G30" s="3"/>
      <c r="H30" s="1"/>
    </row>
    <row r="31" spans="1:10" s="2" customFormat="1" ht="21" customHeight="1">
      <c r="A31" s="1"/>
      <c r="B31" s="1"/>
      <c r="C31" s="4"/>
      <c r="D31" s="1"/>
      <c r="E31" s="1"/>
      <c r="F31" s="1"/>
      <c r="G31" s="3"/>
      <c r="H31" s="1"/>
    </row>
    <row r="32" spans="1:10" s="2" customFormat="1" ht="16.5" customHeight="1">
      <c r="A32" s="1"/>
      <c r="B32" s="1"/>
      <c r="C32" s="4"/>
      <c r="D32" s="1"/>
      <c r="E32" s="1"/>
      <c r="F32" s="1"/>
      <c r="G32" s="3"/>
      <c r="H32" s="1"/>
    </row>
    <row r="33" spans="1:10" s="2" customFormat="1" ht="10.5" customHeight="1">
      <c r="A33" s="1"/>
      <c r="B33" s="1"/>
      <c r="C33" s="4"/>
      <c r="D33" s="1"/>
      <c r="E33" s="1"/>
      <c r="F33" s="1"/>
      <c r="G33" s="3"/>
      <c r="H33" s="1"/>
    </row>
    <row r="34" spans="1:10" s="2" customFormat="1" ht="10.5" customHeight="1">
      <c r="A34" s="1"/>
      <c r="B34" s="1"/>
      <c r="C34" s="1"/>
      <c r="D34" s="1"/>
      <c r="E34" s="1"/>
      <c r="F34" s="1"/>
      <c r="G34" s="3"/>
      <c r="H34" s="1"/>
      <c r="I34" s="1"/>
      <c r="J34" s="1"/>
    </row>
    <row r="35" spans="1:10" s="2" customFormat="1" ht="10.5" customHeight="1">
      <c r="A35" s="1"/>
      <c r="B35" s="1"/>
      <c r="C35" s="1"/>
      <c r="D35" s="1"/>
      <c r="E35" s="1"/>
      <c r="F35" s="1"/>
      <c r="G35" s="3"/>
      <c r="H35" s="1"/>
      <c r="I35" s="1"/>
      <c r="J35" s="1"/>
    </row>
    <row r="36" spans="1:10" s="2" customFormat="1" ht="10.5" customHeight="1">
      <c r="A36" s="1"/>
      <c r="B36" s="1"/>
      <c r="C36" s="1"/>
      <c r="D36" s="1"/>
      <c r="E36" s="1"/>
      <c r="F36" s="1"/>
      <c r="G36" s="3"/>
      <c r="H36" s="1"/>
      <c r="I36" s="1"/>
      <c r="J36" s="1"/>
    </row>
    <row r="37" spans="1:10" s="2" customFormat="1" ht="10.5" customHeight="1">
      <c r="A37" s="1"/>
      <c r="B37" s="1"/>
      <c r="C37" s="1"/>
      <c r="D37" s="1"/>
      <c r="E37" s="1"/>
      <c r="F37" s="1"/>
      <c r="G37" s="3"/>
      <c r="H37" s="1"/>
      <c r="I37" s="1"/>
      <c r="J37" s="1"/>
    </row>
    <row r="38" spans="1:10" s="2" customFormat="1" ht="10.5" customHeight="1">
      <c r="A38" s="1"/>
      <c r="B38" s="1"/>
      <c r="C38" s="1"/>
      <c r="D38" s="1"/>
      <c r="E38" s="1"/>
      <c r="F38" s="1"/>
      <c r="G38" s="3"/>
      <c r="H38" s="1"/>
      <c r="I38" s="1"/>
      <c r="J38" s="1"/>
    </row>
    <row r="39" spans="1:10" s="2" customFormat="1">
      <c r="A39" s="1"/>
      <c r="B39" s="1"/>
      <c r="C39" s="1"/>
      <c r="D39" s="1"/>
      <c r="E39" s="1"/>
      <c r="F39" s="1"/>
      <c r="G39" s="3"/>
      <c r="H39" s="1"/>
      <c r="I39" s="1"/>
      <c r="J39" s="1"/>
    </row>
    <row r="40" spans="1:10" s="2" customFormat="1">
      <c r="A40" s="1"/>
      <c r="B40" s="1"/>
      <c r="C40" s="1"/>
      <c r="D40" s="1"/>
      <c r="E40" s="1"/>
      <c r="F40" s="1"/>
      <c r="G40" s="3"/>
      <c r="H40" s="1"/>
      <c r="I40" s="1"/>
      <c r="J40" s="1"/>
    </row>
    <row r="41" spans="1:10" s="2" customFormat="1">
      <c r="A41" s="1"/>
      <c r="B41" s="1"/>
      <c r="C41" s="1"/>
      <c r="D41" s="1"/>
      <c r="E41" s="1"/>
      <c r="F41" s="1"/>
      <c r="G41" s="3"/>
      <c r="H41" s="1"/>
      <c r="I41" s="1"/>
      <c r="J41" s="1"/>
    </row>
    <row r="42" spans="1:10" s="2" customFormat="1">
      <c r="A42" s="1"/>
      <c r="B42" s="1"/>
      <c r="C42" s="1"/>
      <c r="D42" s="1"/>
      <c r="E42" s="1"/>
      <c r="F42" s="1"/>
      <c r="G42" s="3"/>
      <c r="H42" s="1"/>
      <c r="I42" s="1"/>
      <c r="J42" s="1"/>
    </row>
  </sheetData>
  <mergeCells count="7">
    <mergeCell ref="B24:H29"/>
    <mergeCell ref="A1:H1"/>
    <mergeCell ref="C4:C5"/>
    <mergeCell ref="C9:C10"/>
    <mergeCell ref="D11:H11"/>
    <mergeCell ref="G21:G22"/>
    <mergeCell ref="H21:H22"/>
  </mergeCells>
  <phoneticPr fontId="3" type="noConversion"/>
  <hyperlinks>
    <hyperlink ref="D11" r:id="rId1" xr:uid="{00000000-0004-0000-0000-000000000000}"/>
  </hyperlinks>
  <pageMargins left="0.17" right="0.16" top="1.07" bottom="0.7" header="0.5" footer="0.5"/>
  <pageSetup paperSize="9" scale="9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세환</cp:lastModifiedBy>
  <cp:lastPrinted>2023-06-22T09:08:50Z</cp:lastPrinted>
  <dcterms:created xsi:type="dcterms:W3CDTF">2010-05-19T00:56:10Z</dcterms:created>
  <dcterms:modified xsi:type="dcterms:W3CDTF">2026-10-01T08:48:00Z</dcterms:modified>
</cp:coreProperties>
</file>