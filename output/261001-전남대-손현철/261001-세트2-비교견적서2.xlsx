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견적서 (2)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<sst xmlns="http://schemas.openxmlformats.org/spreadsheetml/2006/main" count="42" uniqueCount="42">
  <si>
    <t xml:space="preserve">견     적     서</t>
  </si>
  <si>
    <t xml:space="preserve">우   성   하   이   텍</t>
  </si>
  <si>
    <t xml:space="preserve">대 표 자   :   유 연 숙</t>
  </si>
  <si>
    <t xml:space="preserve">전남대학교 산학협력단</t>
  </si>
  <si>
    <t xml:space="preserve">귀하</t>
  </si>
  <si>
    <t xml:space="preserve">전라남도 화순군 화순읍 칠충로 44</t>
  </si>
  <si>
    <t xml:space="preserve"> </t>
  </si>
  <si>
    <t xml:space="preserve">업  태  :  도소매</t>
  </si>
  <si>
    <t xml:space="preserve">종  목  :  과학기자재외</t>
  </si>
  <si>
    <t xml:space="preserve">아래와 같이 견적합니다.</t>
  </si>
  <si>
    <t xml:space="preserve">T E L  :  062-514-5012</t>
  </si>
  <si>
    <t xml:space="preserve">FAX : 062-514-5014</t>
  </si>
  <si>
    <t xml:space="preserve">합 계 금 액     (공급가액+세액)</t>
  </si>
  <si>
    <t xml:space="preserve">일금</t>
  </si>
  <si>
    <t xml:space="preserve">원정(</t>
  </si>
  <si>
    <t xml:space="preserve">)</t>
  </si>
  <si>
    <t xml:space="preserve">No</t>
  </si>
  <si>
    <t xml:space="preserve">품                         목</t>
  </si>
  <si>
    <t xml:space="preserve">규        격</t>
  </si>
  <si>
    <t xml:space="preserve">수량</t>
  </si>
  <si>
    <t xml:space="preserve">단가</t>
  </si>
  <si>
    <t xml:space="preserve">공급가액</t>
  </si>
  <si>
    <t xml:space="preserve">1</t>
  </si>
  <si>
    <t xml:space="preserve">HLB, Syringe filter, 13mm, 0.22um, 100/pk [pk]</t>
  </si>
  <si>
    <t xml:space="preserve">SF13-HLB22-M</t>
  </si>
  <si>
    <t xml:space="preserve">2</t>
  </si>
  <si>
    <t xml:space="preserve">2-Propanol (HPLC), Fisher Chemical™</t>
  </si>
  <si>
    <t xml:space="preserve">A451-4</t>
  </si>
  <si>
    <t xml:space="preserve">3</t>
  </si>
  <si>
    <t xml:space="preserve">Hexylene glycol [100g]</t>
  </si>
  <si>
    <t xml:space="preserve">68340</t>
  </si>
  <si>
    <t xml:space="preserve">4</t>
  </si>
  <si>
    <t xml:space="preserve">Glycerol</t>
  </si>
  <si>
    <t xml:space="preserve">4066-4400</t>
  </si>
  <si>
    <t xml:space="preserve">비</t>
  </si>
  <si>
    <t xml:space="preserve">우성하이텍</t>
  </si>
  <si>
    <t xml:space="preserve">공    급    가    액</t>
  </si>
  <si>
    <t xml:space="preserve">계좌번호 : 356-0703-5661-53</t>
  </si>
  <si>
    <t xml:space="preserve">세                 액</t>
  </si>
  <si>
    <t xml:space="preserve">고</t>
  </si>
  <si>
    <t xml:space="preserve">농협</t>
  </si>
  <si>
    <t xml:space="preserve">합                 계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</si>
</sst>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-* #,##0_-;\-* #,##0_-;_-* \-_-;_-@_-"/>
    <numFmt numFmtId="166" formatCode="yyyy&quot;년 &quot;m&quot;월 &quot;d\일;@"/>
    <numFmt numFmtId="167" formatCode="[DBNum4][$-412]General"/>
    <numFmt numFmtId="168" formatCode="_-\₩* #,##0_-;&quot;-₩&quot;* #,##0_-;_-\₩* \-_-;_-@_-"/>
    <numFmt numFmtId="169" formatCode="@"/>
    <numFmt numFmtId="170" formatCode="#,##0_);[RED]\(#,##0\)"/>
    <numFmt numFmtId="171" formatCode="#,##0"/>
  </numFmts>
  <fonts count="11">
    <font>
      <sz val="11"/>
      <name val="돋움"/>
      <family val="3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color rgb="FF000000"/>
      <name val="WenQuanYi Zen Hei"/>
      <family val="2"/>
      <charset val="1"/>
    </font>
    <font>
      <sz val="11"/>
      <color rgb="FF000000"/>
      <name val="맑은 고딕"/>
      <family val="3"/>
      <charset val="129"/>
    </font>
    <font>
      <b val="true"/>
      <sz val="14"/>
      <color rgb="FF000000"/>
      <name val="WenQuanYi Zen Hei"/>
      <family val="2"/>
      <charset val="1"/>
    </font>
    <font>
      <sz val="10"/>
      <color rgb="FF000000"/>
      <name val="WenQuanYi Zen Hei"/>
      <family val="2"/>
      <charset val="1"/>
    </font>
    <font>
      <sz val="11"/>
      <color rgb="FF000000"/>
      <name val="WenQuanYi Zen Hei"/>
      <family val="2"/>
      <charset val="1"/>
    </font>
    <font>
      <sz val="9"/>
      <color rgb="FF000000"/>
      <name val="돋움"/>
      <family val="3"/>
      <charset val="129"/>
    </font>
    <font>
      <sz val="9"/>
      <color rgb="FF00000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9" fontId="0" fillId="0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9" fillId="0" borderId="5" xfId="0" applyFont="true" applyBorder="true" applyAlignment="true" applyProtection="false">
      <alignment horizontal="left" vertical="center" textRotation="0" wrapText="true" indent="0" shrinkToFit="tru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0" fontId="9" fillId="0" borderId="2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5" fontId="9" fillId="0" borderId="4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71" fontId="9" fillId="0" borderId="3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9" fontId="5" fillId="0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0" fillId="0" borderId="5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0" fillId="0" borderId="3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10" fillId="0" borderId="2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5" fontId="10" fillId="0" borderId="4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5" fillId="0" borderId="8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5" fontId="5" fillId="0" borderId="2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5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0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8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center" textRotation="0" wrapText="false" indent="0" shrinkToFit="tru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20160</xdr:colOff>
      <xdr:row>1</xdr:row>
      <xdr:rowOff>295560</xdr:rowOff>
    </xdr:from>
    <xdr:to>
      <xdr:col>15</xdr:col>
      <xdr:colOff>140400</xdr:colOff>
      <xdr:row>5</xdr:row>
      <xdr:rowOff>209520</xdr:rowOff>
    </xdr:to>
    <xdr:pic>
      <xdr:nvPicPr>
        <xdr:cNvPr id="0" name="그림 1" descr="우성하이테크도장.jpeg"/>
        <xdr:cNvPicPr/>
      </xdr:nvPicPr>
      <xdr:blipFill>
        <a:blip r:embed="rId1"/>
        <a:stretch/>
      </xdr:blipFill>
      <xdr:spPr>
        <a:xfrm>
          <a:off x="5720040" y="476640"/>
          <a:ext cx="960120" cy="11044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4.25" zeroHeight="false" outlineLevelRow="0" outlineLevelCol="0"/>
  <cols>
    <col collapsed="false" customWidth="true" hidden="false" outlineLevel="0" max="1" min="1" style="1" width="3.11"/>
    <col collapsed="false" customWidth="true" hidden="false" outlineLevel="0" max="2" min="2" style="2" width="6.88"/>
    <col collapsed="false" customWidth="true" hidden="false" outlineLevel="0" max="3" min="3" style="2" width="2.44"/>
    <col collapsed="false" customWidth="true" hidden="false" outlineLevel="0" max="4" min="4" style="2" width="3.88"/>
    <col collapsed="false" customWidth="true" hidden="false" outlineLevel="0" max="5" min="5" style="2" width="3.55"/>
    <col collapsed="false" customWidth="true" hidden="false" outlineLevel="0" max="6" min="6" style="2" width="4.21"/>
    <col collapsed="false" customWidth="true" hidden="false" outlineLevel="0" max="7" min="7" style="2" width="4.32"/>
    <col collapsed="false" customWidth="true" hidden="false" outlineLevel="0" max="8" min="8" style="2" width="7.55"/>
    <col collapsed="false" customWidth="true" hidden="false" outlineLevel="0" max="9" min="9" style="2" width="3.21"/>
    <col collapsed="false" customWidth="true" hidden="false" outlineLevel="0" max="10" min="10" style="2" width="8.32"/>
    <col collapsed="false" customWidth="true" hidden="false" outlineLevel="0" max="11" min="11" style="2" width="4.32"/>
    <col collapsed="false" customWidth="true" hidden="false" outlineLevel="0" max="12" min="12" style="2" width="4.55"/>
    <col collapsed="false" customWidth="true" hidden="false" outlineLevel="0" max="13" min="13" style="2" width="6.88"/>
    <col collapsed="false" customWidth="true" hidden="false" outlineLevel="0" max="14" min="14" style="2" width="5.44"/>
    <col collapsed="false" customWidth="true" hidden="false" outlineLevel="0" max="15" min="15" style="2" width="3.88"/>
    <col collapsed="false" customWidth="true" hidden="false" outlineLevel="0" max="16" min="16" style="2" width="11.11"/>
  </cols>
  <sheetData>
    <row r="1" customFormat="false" ht="14.25" hidden="false" customHeight="true" outlineLevel="0" collapsed="false"/>
    <row r="2" customFormat="false" ht="43.5" hidden="false" customHeight="true" outlineLevel="0" collapsed="false"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customFormat="false" ht="6.75" hidden="false" customHeight="true" outlineLevel="0" collapsed="false"/>
    <row r="4" customFormat="false" ht="21.75" hidden="false" customHeight="true" outlineLevel="0" collapsed="false">
      <c r="B4" s="4" t="n">
        <v>46289</v>
      </c>
      <c r="C4" s="4"/>
      <c r="D4" s="4"/>
      <c r="E4" s="4"/>
      <c r="F4" s="4"/>
      <c r="G4" s="4"/>
      <c r="I4" s="5"/>
      <c r="J4" s="6" t="s">
        <v>1</v>
      </c>
      <c r="K4" s="6"/>
      <c r="L4" s="6"/>
      <c r="M4" s="6"/>
      <c r="N4" s="6"/>
      <c r="O4" s="6"/>
      <c r="P4" s="6"/>
    </row>
    <row r="5" customFormat="false" ht="21.75" hidden="false" customHeight="true" outlineLevel="0" collapsed="false">
      <c r="B5" s="7"/>
      <c r="C5" s="7"/>
      <c r="D5" s="7"/>
      <c r="E5" s="7"/>
      <c r="F5" s="7"/>
      <c r="G5" s="8"/>
      <c r="H5" s="7"/>
      <c r="I5" s="5"/>
      <c r="J5" s="6" t="s">
        <v>2</v>
      </c>
      <c r="K5" s="6"/>
      <c r="L5" s="6"/>
      <c r="M5" s="6"/>
      <c r="N5" s="6"/>
      <c r="O5" s="6"/>
      <c r="P5" s="6"/>
    </row>
    <row r="6" customFormat="false" ht="25.5" hidden="false" customHeight="true" outlineLevel="0" collapsed="false">
      <c r="B6" s="9" t="s">
        <v>3</v>
      </c>
      <c r="C6" s="9"/>
      <c r="D6" s="9"/>
      <c r="E6" s="9"/>
      <c r="F6" s="9"/>
      <c r="G6" s="10" t="s">
        <v>4</v>
      </c>
      <c r="H6" s="7"/>
      <c r="I6" s="5"/>
      <c r="J6" s="11" t="s">
        <v>5</v>
      </c>
      <c r="K6" s="11"/>
      <c r="L6" s="11"/>
      <c r="M6" s="11"/>
      <c r="N6" s="11"/>
      <c r="O6" s="11"/>
      <c r="P6" s="11"/>
    </row>
    <row r="7" customFormat="false" ht="21.75" hidden="false" customHeight="true" outlineLevel="0" collapsed="false">
      <c r="B7" s="7" t="s">
        <v>6</v>
      </c>
      <c r="C7" s="7"/>
      <c r="D7" s="7"/>
      <c r="E7" s="7"/>
      <c r="F7" s="7"/>
      <c r="G7" s="7"/>
      <c r="H7" s="7"/>
      <c r="I7" s="5"/>
      <c r="J7" s="11" t="s">
        <v>7</v>
      </c>
      <c r="K7" s="11"/>
      <c r="L7" s="11"/>
      <c r="M7" s="11" t="s">
        <v>8</v>
      </c>
      <c r="N7" s="11"/>
      <c r="O7" s="11"/>
      <c r="P7" s="11"/>
    </row>
    <row r="8" customFormat="false" ht="21.75" hidden="false" customHeight="true" outlineLevel="0" collapsed="false">
      <c r="B8" s="12" t="s">
        <v>9</v>
      </c>
      <c r="C8" s="12"/>
      <c r="D8" s="12"/>
      <c r="E8" s="12"/>
      <c r="F8" s="12"/>
      <c r="G8" s="12"/>
      <c r="H8" s="7"/>
      <c r="I8" s="5"/>
      <c r="J8" s="13" t="s">
        <v>10</v>
      </c>
      <c r="K8" s="13"/>
      <c r="L8" s="13"/>
      <c r="M8" s="13" t="s">
        <v>11</v>
      </c>
      <c r="N8" s="13"/>
      <c r="O8" s="13"/>
      <c r="P8" s="13"/>
    </row>
    <row r="10" customFormat="false" ht="32.25" hidden="false" customHeight="true" outlineLevel="0" collapsed="false">
      <c r="A10" s="14" t="s">
        <v>12</v>
      </c>
      <c r="B10" s="14"/>
      <c r="C10" s="14"/>
      <c r="D10" s="15" t="s">
        <v>13</v>
      </c>
      <c r="E10" s="16" t="n">
        <f aca="false">N26</f>
        <v>2287120</v>
      </c>
      <c r="F10" s="16"/>
      <c r="G10" s="16"/>
      <c r="H10" s="16"/>
      <c r="I10" s="16"/>
      <c r="J10" s="16"/>
      <c r="K10" s="15" t="s">
        <v>14</v>
      </c>
      <c r="L10" s="17" t="n">
        <f aca="false">N26</f>
        <v>2287120</v>
      </c>
      <c r="M10" s="17"/>
      <c r="N10" s="17"/>
      <c r="O10" s="17"/>
      <c r="P10" s="18" t="s">
        <v>15</v>
      </c>
    </row>
    <row r="12" customFormat="false" ht="22.5" hidden="false" customHeight="true" outlineLevel="0" collapsed="false">
      <c r="A12" s="19" t="s">
        <v>16</v>
      </c>
      <c r="B12" s="20" t="s">
        <v>17</v>
      </c>
      <c r="C12" s="20"/>
      <c r="D12" s="20"/>
      <c r="E12" s="20"/>
      <c r="F12" s="20"/>
      <c r="G12" s="20"/>
      <c r="H12" s="20"/>
      <c r="I12" s="20"/>
      <c r="J12" s="21" t="s">
        <v>18</v>
      </c>
      <c r="K12" s="21"/>
      <c r="L12" s="21" t="s">
        <v>19</v>
      </c>
      <c r="M12" s="21" t="s">
        <v>20</v>
      </c>
      <c r="N12" s="21"/>
      <c r="O12" s="22" t="s">
        <v>21</v>
      </c>
      <c r="P12" s="22"/>
    </row>
    <row r="13" s="2" customFormat="true" ht="22.5" hidden="false" customHeight="true" outlineLevel="0" collapsed="false">
      <c r="A13" s="23" t="s">
        <v>22</v>
      </c>
      <c r="B13" s="24" t="s">
        <v>23</v>
      </c>
      <c r="C13" s="24"/>
      <c r="D13" s="24"/>
      <c r="E13" s="24"/>
      <c r="F13" s="24"/>
      <c r="G13" s="24"/>
      <c r="H13" s="24"/>
      <c r="I13" s="24"/>
      <c r="J13" s="25" t="s">
        <v>24</v>
      </c>
      <c r="K13" s="25"/>
      <c r="L13" s="26" t="n">
        <v>20</v>
      </c>
      <c r="M13" s="27" t="n">
        <v>95900</v>
      </c>
      <c r="N13" s="27"/>
      <c r="O13" s="28" t="n">
        <f aca="false">M13*L13</f>
        <v>1918000</v>
      </c>
      <c r="P13" s="28"/>
    </row>
    <row r="14" customFormat="false" ht="22.5" hidden="false" customHeight="true" outlineLevel="0" collapsed="false">
      <c r="A14" s="23" t="s">
        <v>25</v>
      </c>
      <c r="B14" s="24" t="s">
        <v>26</v>
      </c>
      <c r="C14" s="24"/>
      <c r="D14" s="24"/>
      <c r="E14" s="24"/>
      <c r="F14" s="24"/>
      <c r="G14" s="24"/>
      <c r="H14" s="24"/>
      <c r="I14" s="24"/>
      <c r="J14" s="25" t="s">
        <v>27</v>
      </c>
      <c r="K14" s="25"/>
      <c r="L14" s="26" t="n">
        <v>1</v>
      </c>
      <c r="M14" s="27" t="n">
        <v>67300</v>
      </c>
      <c r="N14" s="27"/>
      <c r="O14" s="28" t="n">
        <f aca="false">M14*L14</f>
        <v>67300</v>
      </c>
      <c r="P14" s="28"/>
      <c r="R14" s="2"/>
      <c r="S14" s="2"/>
      <c r="T14" s="2"/>
      <c r="U14" s="2"/>
      <c r="V14" s="2"/>
      <c r="W14" s="2"/>
    </row>
    <row r="15" s="2" customFormat="true" ht="22.5" hidden="false" customHeight="true" outlineLevel="0" collapsed="false">
      <c r="A15" s="23" t="s">
        <v>28</v>
      </c>
      <c r="B15" s="24" t="s">
        <v>29</v>
      </c>
      <c r="C15" s="24"/>
      <c r="D15" s="24"/>
      <c r="E15" s="24"/>
      <c r="F15" s="24"/>
      <c r="G15" s="24"/>
      <c r="H15" s="24"/>
      <c r="I15" s="24"/>
      <c r="J15" s="25" t="s">
        <v>30</v>
      </c>
      <c r="K15" s="25"/>
      <c r="L15" s="29" t="n">
        <v>1</v>
      </c>
      <c r="M15" s="27" t="n">
        <v>59600</v>
      </c>
      <c r="N15" s="27"/>
      <c r="O15" s="28" t="n">
        <f aca="false">M15*L15</f>
        <v>59600</v>
      </c>
      <c r="P15" s="28"/>
    </row>
    <row r="16" s="2" customFormat="true" ht="22.5" hidden="false" customHeight="true" outlineLevel="0" collapsed="false">
      <c r="A16" s="23" t="s">
        <v>31</v>
      </c>
      <c r="B16" s="24" t="s">
        <v>32</v>
      </c>
      <c r="C16" s="24"/>
      <c r="D16" s="24"/>
      <c r="E16" s="24"/>
      <c r="F16" s="24"/>
      <c r="G16" s="24"/>
      <c r="H16" s="24"/>
      <c r="I16" s="24"/>
      <c r="J16" s="25" t="s">
        <v>33</v>
      </c>
      <c r="K16" s="25"/>
      <c r="L16" s="29" t="n">
        <v>1</v>
      </c>
      <c r="M16" s="27" t="n">
        <v>34300</v>
      </c>
      <c r="N16" s="27"/>
      <c r="O16" s="28" t="n">
        <f aca="false">M16*L16</f>
        <v>34300</v>
      </c>
      <c r="P16" s="28"/>
    </row>
    <row r="17" s="2" customFormat="true" ht="22.5" hidden="false" customHeight="true" outlineLevel="0" collapsed="false">
      <c r="A17" s="30"/>
      <c r="B17" s="31"/>
      <c r="C17" s="31"/>
      <c r="D17" s="31"/>
      <c r="E17" s="31"/>
      <c r="F17" s="31"/>
      <c r="G17" s="31"/>
      <c r="H17" s="31"/>
      <c r="I17" s="31"/>
      <c r="J17" s="32"/>
      <c r="K17" s="32"/>
      <c r="L17" s="33"/>
      <c r="M17" s="34"/>
      <c r="N17" s="34"/>
      <c r="O17" s="35"/>
      <c r="P17" s="35"/>
    </row>
    <row r="18" customFormat="false" ht="22.5" hidden="false" customHeight="true" outlineLevel="0" collapsed="false">
      <c r="A18" s="30"/>
      <c r="B18" s="31"/>
      <c r="C18" s="31"/>
      <c r="D18" s="31"/>
      <c r="E18" s="31"/>
      <c r="F18" s="31"/>
      <c r="G18" s="31"/>
      <c r="H18" s="31"/>
      <c r="I18" s="31"/>
      <c r="J18" s="32"/>
      <c r="K18" s="32"/>
      <c r="L18" s="33"/>
      <c r="M18" s="34"/>
      <c r="N18" s="34"/>
      <c r="O18" s="35"/>
      <c r="P18" s="35"/>
    </row>
    <row r="19" customFormat="false" ht="22.5" hidden="false" customHeight="true" outlineLevel="0" collapsed="false">
      <c r="A19" s="30"/>
      <c r="B19" s="31"/>
      <c r="C19" s="31"/>
      <c r="D19" s="31"/>
      <c r="E19" s="31"/>
      <c r="F19" s="31"/>
      <c r="G19" s="31"/>
      <c r="H19" s="31"/>
      <c r="I19" s="31"/>
      <c r="J19" s="32"/>
      <c r="K19" s="32"/>
      <c r="L19" s="33"/>
      <c r="M19" s="34"/>
      <c r="N19" s="34"/>
      <c r="O19" s="35"/>
      <c r="P19" s="35"/>
    </row>
    <row r="20" customFormat="false" ht="22.5" hidden="false" customHeight="true" outlineLevel="0" collapsed="false">
      <c r="A20" s="30"/>
      <c r="B20" s="31"/>
      <c r="C20" s="31"/>
      <c r="D20" s="31"/>
      <c r="E20" s="31"/>
      <c r="F20" s="31"/>
      <c r="G20" s="31"/>
      <c r="H20" s="31"/>
      <c r="I20" s="31"/>
      <c r="J20" s="32"/>
      <c r="K20" s="32"/>
      <c r="L20" s="33"/>
      <c r="M20" s="34"/>
      <c r="N20" s="34"/>
      <c r="O20" s="35"/>
      <c r="P20" s="35"/>
    </row>
    <row r="21" customFormat="false" ht="22.5" hidden="false" customHeight="true" outlineLevel="0" collapsed="false">
      <c r="A21" s="30"/>
      <c r="B21" s="31"/>
      <c r="C21" s="31"/>
      <c r="D21" s="31"/>
      <c r="E21" s="31"/>
      <c r="F21" s="31"/>
      <c r="G21" s="31"/>
      <c r="H21" s="31"/>
      <c r="I21" s="31"/>
      <c r="J21" s="32"/>
      <c r="K21" s="32"/>
      <c r="L21" s="33"/>
      <c r="M21" s="34"/>
      <c r="N21" s="34"/>
      <c r="O21" s="35"/>
      <c r="P21" s="35"/>
    </row>
    <row r="22" customFormat="false" ht="22.5" hidden="false" customHeight="true" outlineLevel="0" collapsed="false">
      <c r="A22" s="30"/>
      <c r="B22" s="31"/>
      <c r="C22" s="31"/>
      <c r="D22" s="31"/>
      <c r="E22" s="31"/>
      <c r="F22" s="31"/>
      <c r="G22" s="31"/>
      <c r="H22" s="31"/>
      <c r="I22" s="31"/>
      <c r="J22" s="32"/>
      <c r="K22" s="32"/>
      <c r="L22" s="33"/>
      <c r="M22" s="34"/>
      <c r="N22" s="34"/>
      <c r="O22" s="35"/>
      <c r="P22" s="35"/>
    </row>
    <row r="23" customFormat="false" ht="22.5" hidden="false" customHeight="true" outlineLevel="0" collapsed="false">
      <c r="A23" s="30"/>
      <c r="B23" s="31"/>
      <c r="C23" s="31"/>
      <c r="D23" s="31"/>
      <c r="E23" s="31"/>
      <c r="F23" s="31"/>
      <c r="G23" s="31"/>
      <c r="H23" s="31"/>
      <c r="I23" s="31"/>
      <c r="J23" s="32"/>
      <c r="K23" s="32"/>
      <c r="L23" s="33"/>
      <c r="M23" s="34"/>
      <c r="N23" s="34"/>
      <c r="O23" s="35"/>
      <c r="P23" s="35"/>
    </row>
    <row r="24" customFormat="false" ht="22.5" hidden="false" customHeight="true" outlineLevel="0" collapsed="false">
      <c r="A24" s="36" t="s">
        <v>34</v>
      </c>
      <c r="B24" s="37"/>
      <c r="C24" s="38"/>
      <c r="D24" s="38"/>
      <c r="E24" s="38"/>
      <c r="F24" s="38"/>
      <c r="G24" s="38"/>
      <c r="H24" s="38"/>
      <c r="I24" s="22" t="s">
        <v>35</v>
      </c>
      <c r="J24" s="22"/>
      <c r="K24" s="21" t="s">
        <v>36</v>
      </c>
      <c r="L24" s="21"/>
      <c r="M24" s="21"/>
      <c r="N24" s="39" t="n">
        <f aca="false">SUM(O13:P23)</f>
        <v>2079200</v>
      </c>
      <c r="O24" s="39"/>
      <c r="P24" s="39"/>
    </row>
    <row r="25" customFormat="false" ht="22.5" hidden="false" customHeight="true" outlineLevel="0" collapsed="false">
      <c r="A25" s="40"/>
      <c r="B25" s="41" t="s">
        <v>37</v>
      </c>
      <c r="C25" s="41"/>
      <c r="D25" s="41"/>
      <c r="E25" s="41"/>
      <c r="F25" s="41"/>
      <c r="G25" s="41"/>
      <c r="H25" s="41"/>
      <c r="I25" s="22"/>
      <c r="J25" s="22"/>
      <c r="K25" s="21" t="s">
        <v>38</v>
      </c>
      <c r="L25" s="21"/>
      <c r="M25" s="21"/>
      <c r="N25" s="39" t="n">
        <f aca="false">N24*0.1</f>
        <v>207920</v>
      </c>
      <c r="O25" s="39"/>
      <c r="P25" s="39"/>
    </row>
    <row r="26" customFormat="false" ht="22.5" hidden="false" customHeight="true" outlineLevel="0" collapsed="false">
      <c r="A26" s="42" t="s">
        <v>39</v>
      </c>
      <c r="B26" s="43" t="s">
        <v>40</v>
      </c>
      <c r="C26" s="43"/>
      <c r="D26" s="43"/>
      <c r="E26" s="43"/>
      <c r="F26" s="43"/>
      <c r="G26" s="43"/>
      <c r="H26" s="43"/>
      <c r="I26" s="22"/>
      <c r="J26" s="22"/>
      <c r="K26" s="21" t="s">
        <v>41</v>
      </c>
      <c r="L26" s="21"/>
      <c r="M26" s="21"/>
      <c r="N26" s="39" t="n">
        <f aca="false">SUM(N24:N25)</f>
        <v>2287120</v>
      </c>
      <c r="O26" s="39"/>
      <c r="P26" s="39"/>
    </row>
    <row r="27" customFormat="false" ht="22.5" hidden="false" customHeight="true" outlineLevel="0" collapsed="false"/>
    <row r="28" customFormat="false" ht="22.5" hidden="false" customHeight="true" outlineLevel="0" collapsed="false"/>
    <row r="29" customFormat="false" ht="22.5" hidden="false" customHeight="true" outlineLevel="0" collapsed="false"/>
    <row r="30" customFormat="false" ht="22.5" hidden="false" customHeight="true" outlineLevel="0" collapsed="false"/>
    <row r="31" customFormat="false" ht="22.5" hidden="false" customHeight="true" outlineLevel="0" collapsed="false"/>
    <row r="32" customFormat="false" ht="22.5" hidden="false" customHeight="true" outlineLevel="0" collapsed="false"/>
  </sheetData>
  <mergeCells count="72">
    <mergeCell ref="B2:P2"/>
    <mergeCell ref="B4:G4"/>
    <mergeCell ref="J4:P4"/>
    <mergeCell ref="J5:P5"/>
    <mergeCell ref="B6:F6"/>
    <mergeCell ref="J6:P6"/>
    <mergeCell ref="J7:L7"/>
    <mergeCell ref="M7:P7"/>
    <mergeCell ref="B8:G8"/>
    <mergeCell ref="J8:L8"/>
    <mergeCell ref="M8:P8"/>
    <mergeCell ref="A10:C10"/>
    <mergeCell ref="E10:J10"/>
    <mergeCell ref="L10:O10"/>
    <mergeCell ref="B12:I12"/>
    <mergeCell ref="J12:K12"/>
    <mergeCell ref="M12:N12"/>
    <mergeCell ref="O12:P12"/>
    <mergeCell ref="B13:I13"/>
    <mergeCell ref="J13:K13"/>
    <mergeCell ref="M13:N13"/>
    <mergeCell ref="O13:P13"/>
    <mergeCell ref="B14:I14"/>
    <mergeCell ref="J14:K14"/>
    <mergeCell ref="M14:N14"/>
    <mergeCell ref="O14:P14"/>
    <mergeCell ref="B15:I15"/>
    <mergeCell ref="J15:K15"/>
    <mergeCell ref="M15:N15"/>
    <mergeCell ref="O15:P15"/>
    <mergeCell ref="B16:I16"/>
    <mergeCell ref="J16:K16"/>
    <mergeCell ref="M16:N16"/>
    <mergeCell ref="O16:P16"/>
    <mergeCell ref="B17:I17"/>
    <mergeCell ref="J17:K17"/>
    <mergeCell ref="M17:N17"/>
    <mergeCell ref="O17:P17"/>
    <mergeCell ref="B18:I18"/>
    <mergeCell ref="J18:K18"/>
    <mergeCell ref="M18:N18"/>
    <mergeCell ref="O18:P18"/>
    <mergeCell ref="B19:I19"/>
    <mergeCell ref="J19:K19"/>
    <mergeCell ref="M19:N19"/>
    <mergeCell ref="O19:P19"/>
    <mergeCell ref="B20:I20"/>
    <mergeCell ref="J20:K20"/>
    <mergeCell ref="M20:N20"/>
    <mergeCell ref="O20:P20"/>
    <mergeCell ref="B21:I21"/>
    <mergeCell ref="J21:K21"/>
    <mergeCell ref="M21:N21"/>
    <mergeCell ref="O21:P21"/>
    <mergeCell ref="B22:I22"/>
    <mergeCell ref="J22:K22"/>
    <mergeCell ref="M22:N22"/>
    <mergeCell ref="O22:P22"/>
    <mergeCell ref="B23:I23"/>
    <mergeCell ref="J23:K23"/>
    <mergeCell ref="M23:N23"/>
    <mergeCell ref="O23:P23"/>
    <mergeCell ref="C24:H24"/>
    <mergeCell ref="I24:J26"/>
    <mergeCell ref="K24:M24"/>
    <mergeCell ref="N24:P24"/>
    <mergeCell ref="B25:H25"/>
    <mergeCell ref="K25:M25"/>
    <mergeCell ref="N25:P25"/>
    <mergeCell ref="B26:H26"/>
    <mergeCell ref="K26:M26"/>
    <mergeCell ref="N26:P26"/>
  </mergeCells>
  <printOptions headings="false" gridLines="false" gridLinesSet="true" horizontalCentered="false" verticalCentered="false"/>
  <pageMargins left="0.354166666666667" right="0.354166666666667" top="0.590277777777778" bottom="0.509722222222222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2007-10-26T01:30:03Z</dcterms:created>
  <dc:creator>hp</dc:creator>
  <dc:description/>
  <dc:language>en-US</dc:language>
  <cp:lastModifiedBy>세환</cp:lastModifiedBy>
  <cp:lastPrinted>2026-04-16T00:46:02Z</cp:lastPrinted>
  <dcterms:modified xsi:type="dcterms:W3CDTF">2026-10-20T09:27:14Z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